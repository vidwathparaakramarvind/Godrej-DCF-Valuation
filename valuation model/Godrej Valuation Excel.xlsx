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hareddy/Desktop/"/>
    </mc:Choice>
  </mc:AlternateContent>
  <xr:revisionPtr revIDLastSave="0" documentId="13_ncr:1_{D3ECD282-6901-A34B-B6C6-A7371A9B31AA}" xr6:coauthVersionLast="47" xr6:coauthVersionMax="47" xr10:uidLastSave="{00000000-0000-0000-0000-000000000000}"/>
  <bookViews>
    <workbookView xWindow="0" yWindow="0" windowWidth="28800" windowHeight="18000" activeTab="5" xr2:uid="{3C292DA2-917D-0E49-93B0-502D5C81BD49}"/>
  </bookViews>
  <sheets>
    <sheet name="Growth Rate Calculation" sheetId="2" r:id="rId1"/>
    <sheet name="Schedules" sheetId="5" r:id="rId2"/>
    <sheet name="Free Cash Flows" sheetId="4" r:id="rId3"/>
    <sheet name="DCF" sheetId="9" r:id="rId4"/>
    <sheet name="Historical Financials" sheetId="1" r:id="rId5"/>
    <sheet name="Not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4" l="1"/>
  <c r="D6" i="4"/>
  <c r="G30" i="2"/>
  <c r="G31" i="2"/>
  <c r="I27" i="2"/>
  <c r="I28" i="2"/>
  <c r="I29" i="2"/>
  <c r="I30" i="2"/>
  <c r="I31" i="2"/>
  <c r="C9" i="4"/>
  <c r="C7" i="4"/>
  <c r="K9" i="2"/>
  <c r="E9" i="2"/>
  <c r="F9" i="2"/>
  <c r="G9" i="2"/>
  <c r="H9" i="2"/>
  <c r="I9" i="2"/>
  <c r="J9" i="2"/>
  <c r="L9" i="2"/>
  <c r="F31" i="2"/>
  <c r="E31" i="2"/>
  <c r="D31" i="2"/>
  <c r="C31" i="2"/>
  <c r="F30" i="2"/>
  <c r="E30" i="2"/>
  <c r="D30" i="2"/>
  <c r="C30" i="2"/>
  <c r="G29" i="2"/>
  <c r="F29" i="2"/>
  <c r="E29" i="2"/>
  <c r="D29" i="2"/>
  <c r="C29" i="2"/>
  <c r="G28" i="2"/>
  <c r="F28" i="2"/>
  <c r="E28" i="2"/>
  <c r="D28" i="2"/>
  <c r="C28" i="2"/>
  <c r="G27" i="2"/>
  <c r="F27" i="2"/>
  <c r="E27" i="2"/>
  <c r="D27" i="2"/>
  <c r="C27" i="2"/>
  <c r="I32" i="2" l="1"/>
  <c r="E6" i="4"/>
  <c r="F6" i="4" s="1"/>
  <c r="G6" i="4" s="1"/>
  <c r="H6" i="4" s="1"/>
  <c r="I6" i="4" s="1"/>
  <c r="J6" i="4" s="1"/>
  <c r="K6" i="4" s="1"/>
  <c r="L6" i="4" s="1"/>
  <c r="M6" i="4" s="1"/>
  <c r="C16" i="9"/>
  <c r="C18" i="9"/>
  <c r="C17" i="9"/>
  <c r="R7" i="9"/>
  <c r="R17" i="9"/>
  <c r="R23" i="9"/>
  <c r="S21" i="9" s="1"/>
  <c r="D5" i="9"/>
  <c r="E5" i="9"/>
  <c r="F5" i="9"/>
  <c r="G5" i="9"/>
  <c r="H5" i="9"/>
  <c r="I5" i="9"/>
  <c r="J5" i="9"/>
  <c r="K5" i="9"/>
  <c r="L5" i="9"/>
  <c r="M5" i="9"/>
  <c r="C5" i="9"/>
  <c r="R9" i="4"/>
  <c r="D46" i="5"/>
  <c r="E46" i="5"/>
  <c r="F46" i="5"/>
  <c r="G46" i="5"/>
  <c r="H46" i="5"/>
  <c r="I46" i="5"/>
  <c r="J46" i="5"/>
  <c r="K46" i="5"/>
  <c r="C46" i="5"/>
  <c r="C15" i="4"/>
  <c r="J45" i="5"/>
  <c r="D43" i="5"/>
  <c r="E43" i="5"/>
  <c r="F43" i="5"/>
  <c r="G43" i="5"/>
  <c r="H43" i="5"/>
  <c r="H44" i="5" s="1"/>
  <c r="H45" i="5" s="1"/>
  <c r="I43" i="5"/>
  <c r="I44" i="5" s="1"/>
  <c r="I45" i="5" s="1"/>
  <c r="J43" i="5"/>
  <c r="K43" i="5"/>
  <c r="L43" i="5"/>
  <c r="C43" i="5"/>
  <c r="D37" i="5"/>
  <c r="E37" i="5"/>
  <c r="E44" i="5" s="1"/>
  <c r="E45" i="5" s="1"/>
  <c r="F37" i="5"/>
  <c r="F44" i="5" s="1"/>
  <c r="F45" i="5" s="1"/>
  <c r="G37" i="5"/>
  <c r="G44" i="5" s="1"/>
  <c r="G45" i="5" s="1"/>
  <c r="H37" i="5"/>
  <c r="I37" i="5"/>
  <c r="J37" i="5"/>
  <c r="J44" i="5" s="1"/>
  <c r="K37" i="5"/>
  <c r="K44" i="5" s="1"/>
  <c r="L37" i="5"/>
  <c r="C37" i="5"/>
  <c r="C44" i="5" s="1"/>
  <c r="C14" i="4"/>
  <c r="C12" i="4"/>
  <c r="C17" i="5"/>
  <c r="D12" i="4" s="1"/>
  <c r="D14" i="5"/>
  <c r="E14" i="5"/>
  <c r="F14" i="5"/>
  <c r="G14" i="5"/>
  <c r="H14" i="5"/>
  <c r="I14" i="5"/>
  <c r="J14" i="5"/>
  <c r="K14" i="5"/>
  <c r="C14" i="5"/>
  <c r="L10" i="5"/>
  <c r="L11" i="5" s="1"/>
  <c r="D10" i="5"/>
  <c r="D11" i="5" s="1"/>
  <c r="E10" i="5"/>
  <c r="E11" i="5" s="1"/>
  <c r="F10" i="5"/>
  <c r="F11" i="5" s="1"/>
  <c r="G10" i="5"/>
  <c r="G11" i="5" s="1"/>
  <c r="H10" i="5"/>
  <c r="H11" i="5" s="1"/>
  <c r="I10" i="5"/>
  <c r="I11" i="5" s="1"/>
  <c r="J10" i="5"/>
  <c r="J11" i="5" s="1"/>
  <c r="K10" i="5"/>
  <c r="K11" i="5" s="1"/>
  <c r="C10" i="5"/>
  <c r="C11" i="5" s="1"/>
  <c r="L26" i="5"/>
  <c r="K26" i="5"/>
  <c r="J26" i="5"/>
  <c r="I26" i="5"/>
  <c r="H26" i="5"/>
  <c r="G26" i="5"/>
  <c r="F26" i="5"/>
  <c r="E26" i="5"/>
  <c r="D26" i="5"/>
  <c r="C26" i="5"/>
  <c r="L25" i="5"/>
  <c r="K25" i="5"/>
  <c r="J25" i="5"/>
  <c r="I25" i="5"/>
  <c r="H25" i="5"/>
  <c r="G25" i="5"/>
  <c r="F25" i="5"/>
  <c r="E25" i="5"/>
  <c r="D25" i="5"/>
  <c r="C25" i="5"/>
  <c r="C8" i="4" s="1"/>
  <c r="K24" i="5"/>
  <c r="J24" i="5"/>
  <c r="I24" i="5"/>
  <c r="H24" i="5"/>
  <c r="G24" i="5"/>
  <c r="F24" i="5"/>
  <c r="E24" i="5"/>
  <c r="D24" i="5"/>
  <c r="C24" i="5"/>
  <c r="L23" i="5"/>
  <c r="K23" i="5"/>
  <c r="J23" i="5"/>
  <c r="I23" i="5"/>
  <c r="H23" i="5"/>
  <c r="G23" i="5"/>
  <c r="F23" i="5"/>
  <c r="E23" i="5"/>
  <c r="D23" i="5"/>
  <c r="C23" i="5"/>
  <c r="C6" i="4"/>
  <c r="D8" i="5"/>
  <c r="D12" i="5" s="1"/>
  <c r="E8" i="5"/>
  <c r="E12" i="5" s="1"/>
  <c r="F8" i="5"/>
  <c r="F12" i="5" s="1"/>
  <c r="G8" i="5"/>
  <c r="G12" i="5" s="1"/>
  <c r="H8" i="5"/>
  <c r="H12" i="5" s="1"/>
  <c r="I8" i="5"/>
  <c r="I12" i="5" s="1"/>
  <c r="J8" i="5"/>
  <c r="J12" i="5" s="1"/>
  <c r="K8" i="5"/>
  <c r="K12" i="5" s="1"/>
  <c r="L8" i="5"/>
  <c r="L12" i="5" s="1"/>
  <c r="S22" i="9" l="1"/>
  <c r="R26" i="9" s="1"/>
  <c r="L44" i="5"/>
  <c r="K45" i="5" s="1"/>
  <c r="D44" i="5"/>
  <c r="D45" i="5" s="1"/>
  <c r="R10" i="4"/>
  <c r="E10" i="4" s="1"/>
  <c r="R10" i="9"/>
  <c r="C10" i="4"/>
  <c r="C11" i="4" s="1"/>
  <c r="C16" i="4" s="1"/>
  <c r="R8" i="4"/>
  <c r="L8" i="4" s="1"/>
  <c r="R6" i="4"/>
  <c r="C13" i="4" s="1"/>
  <c r="D18" i="5"/>
  <c r="C12" i="5"/>
  <c r="R5" i="4" s="1"/>
  <c r="D14" i="4" s="1"/>
  <c r="D9" i="2"/>
  <c r="D7" i="2"/>
  <c r="E7" i="2" s="1"/>
  <c r="F7" i="2" s="1"/>
  <c r="G7" i="2" s="1"/>
  <c r="H7" i="2" s="1"/>
  <c r="I7" i="2" s="1"/>
  <c r="J7" i="2" s="1"/>
  <c r="K7" i="2" s="1"/>
  <c r="L7" i="2" s="1"/>
  <c r="I3" i="4"/>
  <c r="J3" i="4" s="1"/>
  <c r="K3" i="4" s="1"/>
  <c r="L3" i="4" s="1"/>
  <c r="M3" i="4" s="1"/>
  <c r="G10" i="4" l="1"/>
  <c r="J10" i="4"/>
  <c r="D8" i="4"/>
  <c r="L10" i="4"/>
  <c r="C45" i="5"/>
  <c r="I10" i="4"/>
  <c r="H10" i="4"/>
  <c r="F10" i="4"/>
  <c r="D10" i="4"/>
  <c r="M10" i="4"/>
  <c r="K10" i="4"/>
  <c r="F8" i="4"/>
  <c r="M8" i="4"/>
  <c r="J8" i="4"/>
  <c r="H8" i="4"/>
  <c r="G8" i="4"/>
  <c r="I8" i="4"/>
  <c r="E8" i="4"/>
  <c r="K8" i="4"/>
  <c r="D13" i="4"/>
  <c r="E18" i="5"/>
  <c r="D17" i="5"/>
  <c r="E12" i="4" s="1"/>
  <c r="E13" i="4" s="1"/>
  <c r="E14" i="4"/>
  <c r="M11" i="2"/>
  <c r="D7" i="4"/>
  <c r="D9" i="4" s="1"/>
  <c r="E7" i="4" l="1"/>
  <c r="D15" i="4"/>
  <c r="D11" i="4"/>
  <c r="F14" i="4"/>
  <c r="E17" i="5"/>
  <c r="F18" i="5"/>
  <c r="G18" i="5" s="1"/>
  <c r="H18" i="5" s="1"/>
  <c r="I18" i="5" s="1"/>
  <c r="J18" i="5" s="1"/>
  <c r="K18" i="5" s="1"/>
  <c r="L18" i="5" s="1"/>
  <c r="M18" i="5" s="1"/>
  <c r="D16" i="4" l="1"/>
  <c r="E9" i="4"/>
  <c r="E11" i="4" s="1"/>
  <c r="F7" i="4"/>
  <c r="F9" i="4" s="1"/>
  <c r="E15" i="4"/>
  <c r="F17" i="5"/>
  <c r="F12" i="4"/>
  <c r="E16" i="4" l="1"/>
  <c r="D6" i="9" s="1"/>
  <c r="D9" i="9" s="1"/>
  <c r="C6" i="9"/>
  <c r="C9" i="9" s="1"/>
  <c r="G7" i="4"/>
  <c r="G9" i="4" s="1"/>
  <c r="F15" i="4"/>
  <c r="F11" i="4"/>
  <c r="G12" i="4"/>
  <c r="G17" i="5"/>
  <c r="F13" i="4"/>
  <c r="G14" i="4"/>
  <c r="F16" i="4" l="1"/>
  <c r="E6" i="9" s="1"/>
  <c r="E9" i="9" s="1"/>
  <c r="H7" i="4"/>
  <c r="H9" i="4" s="1"/>
  <c r="G15" i="4"/>
  <c r="G11" i="4"/>
  <c r="G13" i="4"/>
  <c r="H14" i="4"/>
  <c r="H17" i="5"/>
  <c r="H12" i="4"/>
  <c r="G16" i="4" l="1"/>
  <c r="F6" i="9" s="1"/>
  <c r="F9" i="9" s="1"/>
  <c r="I7" i="4"/>
  <c r="I9" i="4" s="1"/>
  <c r="H15" i="4"/>
  <c r="H11" i="4"/>
  <c r="H16" i="4" s="1"/>
  <c r="I17" i="5"/>
  <c r="I12" i="4"/>
  <c r="H13" i="4"/>
  <c r="I14" i="4"/>
  <c r="G6" i="9" l="1"/>
  <c r="G9" i="9" s="1"/>
  <c r="J7" i="4"/>
  <c r="J9" i="4" s="1"/>
  <c r="I15" i="4"/>
  <c r="I11" i="4"/>
  <c r="I16" i="4" s="1"/>
  <c r="I13" i="4"/>
  <c r="J14" i="4"/>
  <c r="J17" i="5"/>
  <c r="J12" i="4"/>
  <c r="H6" i="9" l="1"/>
  <c r="H9" i="9" s="1"/>
  <c r="K7" i="4"/>
  <c r="K9" i="4" s="1"/>
  <c r="J15" i="4"/>
  <c r="J11" i="4"/>
  <c r="J16" i="4" s="1"/>
  <c r="J13" i="4"/>
  <c r="K14" i="4"/>
  <c r="K17" i="5"/>
  <c r="K12" i="4"/>
  <c r="I6" i="9" l="1"/>
  <c r="I9" i="9" s="1"/>
  <c r="L7" i="4"/>
  <c r="L9" i="4" s="1"/>
  <c r="K15" i="4"/>
  <c r="K11" i="4"/>
  <c r="K16" i="4" s="1"/>
  <c r="K13" i="4"/>
  <c r="L14" i="4"/>
  <c r="L17" i="5"/>
  <c r="L12" i="4"/>
  <c r="J6" i="9" l="1"/>
  <c r="J9" i="9" s="1"/>
  <c r="M7" i="4"/>
  <c r="M9" i="4" s="1"/>
  <c r="L15" i="4"/>
  <c r="L11" i="4"/>
  <c r="L16" i="4" s="1"/>
  <c r="L13" i="4"/>
  <c r="M14" i="4"/>
  <c r="M17" i="5"/>
  <c r="M12" i="4"/>
  <c r="M13" i="4" s="1"/>
  <c r="K6" i="9" l="1"/>
  <c r="K9" i="9" s="1"/>
  <c r="M15" i="4"/>
  <c r="M11" i="4"/>
  <c r="M16" i="4" l="1"/>
  <c r="N16" i="4" s="1"/>
  <c r="M6" i="9" s="1"/>
  <c r="M9" i="9" s="1"/>
  <c r="C14" i="9" s="1"/>
  <c r="C20" i="4"/>
  <c r="L6" i="9" l="1"/>
  <c r="L9" i="9" s="1"/>
  <c r="C13" i="9" s="1"/>
  <c r="C15" i="9" s="1"/>
  <c r="C19" i="9" s="1"/>
  <c r="C2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Swetha</author>
  </authors>
  <commentList>
    <comment ref="R10" authorId="0" shapeId="0" xr:uid="{6294B0EF-069D-453B-A853-DF08062FB994}">
      <text>
        <r>
          <rPr>
            <b/>
            <sz val="9"/>
            <color indexed="81"/>
            <rFont val="Tahoma"/>
            <family val="2"/>
          </rPr>
          <t>Swetha:</t>
        </r>
        <r>
          <rPr>
            <sz val="9"/>
            <color indexed="81"/>
            <rFont val="Tahoma"/>
            <family val="2"/>
          </rPr>
          <t xml:space="preserve">
Conservativism assumption is considered, there is a .05 decline in the growth rate of the company.</t>
        </r>
      </text>
    </comment>
  </commentList>
</comments>
</file>

<file path=xl/sharedStrings.xml><?xml version="1.0" encoding="utf-8"?>
<sst xmlns="http://schemas.openxmlformats.org/spreadsheetml/2006/main" count="276" uniqueCount="223">
  <si>
    <t>Approach 1:</t>
  </si>
  <si>
    <t>Revenue From Operations [Gross]</t>
  </si>
  <si>
    <t>Growth Rate</t>
  </si>
  <si>
    <t>Avg Growth Rate</t>
  </si>
  <si>
    <t>Approach 2:</t>
  </si>
  <si>
    <t xml:space="preserve">Segment wise </t>
  </si>
  <si>
    <t>REVENUE MIX</t>
  </si>
  <si>
    <t>fy 16</t>
  </si>
  <si>
    <t>fy 17</t>
  </si>
  <si>
    <t>fy 18</t>
  </si>
  <si>
    <t>fy 19</t>
  </si>
  <si>
    <t>fy 20</t>
  </si>
  <si>
    <t>fy 21</t>
  </si>
  <si>
    <t>Household insecticides</t>
  </si>
  <si>
    <t>Personal Wash</t>
  </si>
  <si>
    <t>Hair Care</t>
  </si>
  <si>
    <t>Others</t>
  </si>
  <si>
    <t>Unbranded/Exports</t>
  </si>
  <si>
    <t>GROWTH RATES</t>
  </si>
  <si>
    <t>Average Growth Rate</t>
  </si>
  <si>
    <t>Fixed Assets Schedule - PPE</t>
  </si>
  <si>
    <t>Particulars</t>
  </si>
  <si>
    <t>Opening Balance</t>
  </si>
  <si>
    <t>(Less) Disposals</t>
  </si>
  <si>
    <t>Add: Capital Expenditure</t>
  </si>
  <si>
    <t>Closing Balance</t>
  </si>
  <si>
    <r>
      <t xml:space="preserve">D&amp;A </t>
    </r>
    <r>
      <rPr>
        <sz val="8"/>
        <color theme="1"/>
        <rFont val="Arial"/>
        <family val="2"/>
      </rPr>
      <t>note5</t>
    </r>
  </si>
  <si>
    <t>D&amp;A as % of Opening Balance</t>
  </si>
  <si>
    <t>Cap Ex as % of Opening Balance</t>
  </si>
  <si>
    <t>Growth in PPE</t>
  </si>
  <si>
    <t>Years</t>
  </si>
  <si>
    <t>Base (FY22)</t>
  </si>
  <si>
    <t>FY23E</t>
  </si>
  <si>
    <t>FY24E</t>
  </si>
  <si>
    <t>FY25E</t>
  </si>
  <si>
    <t>FY26E</t>
  </si>
  <si>
    <t>FY27E</t>
  </si>
  <si>
    <t>FY28E</t>
  </si>
  <si>
    <t>FY29E</t>
  </si>
  <si>
    <t>FY30E</t>
  </si>
  <si>
    <t>FY31E</t>
  </si>
  <si>
    <t>FY32E</t>
  </si>
  <si>
    <t>Predicted PPE (Closing Balance)</t>
  </si>
  <si>
    <r>
      <t xml:space="preserve">Predicted Growth in PPE </t>
    </r>
    <r>
      <rPr>
        <b/>
        <sz val="8"/>
        <color theme="1"/>
        <rFont val="Calibri"/>
        <family val="2"/>
        <scheme val="minor"/>
      </rPr>
      <t>note 6</t>
    </r>
  </si>
  <si>
    <t>Ratios</t>
  </si>
  <si>
    <t>Fiscal Year</t>
  </si>
  <si>
    <t>Revenue Growth</t>
  </si>
  <si>
    <t>Operating Margin</t>
  </si>
  <si>
    <t xml:space="preserve">Tax Rate </t>
  </si>
  <si>
    <t>Working Capital Schedule</t>
  </si>
  <si>
    <t>CURRENT ASSETS</t>
  </si>
  <si>
    <t>Current Investments</t>
  </si>
  <si>
    <t>Inventories</t>
  </si>
  <si>
    <t>Trade Receivables</t>
  </si>
  <si>
    <t>Cash And Cash Equivalents</t>
  </si>
  <si>
    <t>OtherCurrentAssets</t>
  </si>
  <si>
    <t>Total Current Assets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</si>
  <si>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</si>
  <si>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</si>
  <si>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</si>
  <si>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</si>
  <si>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</si>
  <si>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</si>
  <si>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Net Working Capital</t>
  </si>
  <si>
    <t>Change in working Capital</t>
  </si>
  <si>
    <t>Change in NWC as % of revenue</t>
  </si>
  <si>
    <t>ASSUMPTIONS</t>
  </si>
  <si>
    <t>Terminal Year</t>
  </si>
  <si>
    <t>Percentage</t>
  </si>
  <si>
    <t xml:space="preserve">Particulars </t>
  </si>
  <si>
    <t>Average CapEx as % of Opening PPE Balance</t>
  </si>
  <si>
    <t xml:space="preserve">Revenue growth rate </t>
  </si>
  <si>
    <t>Average D%A as % of Opening PPE Balance</t>
  </si>
  <si>
    <t>Revenue from sales</t>
  </si>
  <si>
    <t>Average Revenue Growth</t>
  </si>
  <si>
    <t>Average Operating Margin</t>
  </si>
  <si>
    <t xml:space="preserve">Operating income </t>
  </si>
  <si>
    <t>Average Change in NWC % of revenue</t>
  </si>
  <si>
    <t xml:space="preserve">Tax rate </t>
  </si>
  <si>
    <t>Average Tax Rate</t>
  </si>
  <si>
    <t>EBIT (1-T)</t>
  </si>
  <si>
    <t>Opening Balance of PPE</t>
  </si>
  <si>
    <t>Depreciation</t>
  </si>
  <si>
    <t>(Less) Capital Expenditure</t>
  </si>
  <si>
    <t>(Less) Change in Working Capital</t>
  </si>
  <si>
    <t>FCF</t>
  </si>
  <si>
    <t>DISCOUNTED CASH FLOW MODEL</t>
  </si>
  <si>
    <t>Cost of Debt</t>
  </si>
  <si>
    <t>`</t>
  </si>
  <si>
    <t>Interest Expenses</t>
  </si>
  <si>
    <t>Free Cash Flows</t>
  </si>
  <si>
    <t>Total Debt</t>
  </si>
  <si>
    <t>Cost Of Debt</t>
  </si>
  <si>
    <t>Projection Year</t>
  </si>
  <si>
    <t>Effective Tax Rate</t>
  </si>
  <si>
    <t>Present Value of Free Cash Flow</t>
  </si>
  <si>
    <t>Terminal Growth Rate</t>
  </si>
  <si>
    <t>Implied Share Price Calculation</t>
  </si>
  <si>
    <t>Cost of Equity</t>
  </si>
  <si>
    <t>Sum of PV of CF</t>
  </si>
  <si>
    <t>Risk Free Rate</t>
  </si>
  <si>
    <t>PV of Terminal Value</t>
  </si>
  <si>
    <t>Enterprice Value</t>
  </si>
  <si>
    <t>Beta</t>
  </si>
  <si>
    <t xml:space="preserve">    add: Cash</t>
  </si>
  <si>
    <t>Market Premium</t>
  </si>
  <si>
    <t xml:space="preserve">    (less) Debt</t>
  </si>
  <si>
    <t xml:space="preserve">    (less) Minority Interest</t>
  </si>
  <si>
    <t>FINAL CALL</t>
  </si>
  <si>
    <t>UNDERVALUED</t>
  </si>
  <si>
    <t>Equity Value</t>
  </si>
  <si>
    <t>No. of Shares Outstanding</t>
  </si>
  <si>
    <t>Weight of Debt and Equity</t>
  </si>
  <si>
    <t>Implied Share Price</t>
  </si>
  <si>
    <t>Market Cap</t>
  </si>
  <si>
    <t>Total</t>
  </si>
  <si>
    <t>Market Price of the Share</t>
  </si>
  <si>
    <t>WACC</t>
  </si>
  <si>
    <t>Consolidated Profit &amp; Loss account </t>
  </si>
  <si>
    <t>------------------- in Rs. Cr. -------------------</t>
  </si>
  <si>
    <t>Consolidated Balance Sheet</t>
  </si>
  <si>
    <t>Consolidated Cash Flow</t>
  </si>
  <si>
    <t>Mar 22</t>
  </si>
  <si>
    <t>Mar 17</t>
  </si>
  <si>
    <t>Mar '22</t>
  </si>
  <si>
    <t>Mar '21</t>
  </si>
  <si>
    <t>Mar '20</t>
  </si>
  <si>
    <t>Mar '19</t>
  </si>
  <si>
    <t>Mar '18</t>
  </si>
  <si>
    <t>Mar '17</t>
  </si>
  <si>
    <t>Mar '16</t>
  </si>
  <si>
    <t>Mar '15</t>
  </si>
  <si>
    <t>Mar '14</t>
  </si>
  <si>
    <t>Mar '13</t>
  </si>
  <si>
    <t>INCOME</t>
  </si>
  <si>
    <t>EQUITIES AND LIABILITIES</t>
  </si>
  <si>
    <t>12 mths</t>
  </si>
  <si>
    <t>SHAREHOLDER'S FUNDS</t>
  </si>
  <si>
    <t>Less: Excise/Sevice Tax/Other Levies</t>
  </si>
  <si>
    <t>Equity Share Capital</t>
  </si>
  <si>
    <t>Net Profit Before Tax</t>
  </si>
  <si>
    <t>Revenue From Operations [Net]</t>
  </si>
  <si>
    <t>Total Share Capital</t>
  </si>
  <si>
    <t>Net Cash From Operating Activities</t>
  </si>
  <si>
    <t>Other Operating Revenues</t>
  </si>
  <si>
    <t>Reserves and Surplus</t>
  </si>
  <si>
    <t>Net Cash (used in)/from</t>
  </si>
  <si>
    <t>Total Operating Revenues</t>
  </si>
  <si>
    <t>Total Reserves and Surplus</t>
  </si>
  <si>
    <t>Investing Activities</t>
  </si>
  <si>
    <t>Other Income</t>
  </si>
  <si>
    <t>Total Shareholders Funds</t>
  </si>
  <si>
    <t>Net Cash (used in)/from Financing Activities</t>
  </si>
  <si>
    <t>Total Revenue</t>
  </si>
  <si>
    <t>Minority Interest</t>
  </si>
  <si>
    <t>Net (decrease)/increase In Cash and Cash Equivalents</t>
  </si>
  <si>
    <t>EXPENSES</t>
  </si>
  <si>
    <t>NON-CURRENT LIABILITIES</t>
  </si>
  <si>
    <t>Opening Cash &amp; Cash Equivalents</t>
  </si>
  <si>
    <t>Cost Of Materials Consumed</t>
  </si>
  <si>
    <t>Long Term Borrowings</t>
  </si>
  <si>
    <t>Closing Cash &amp; Cash Equivalents</t>
  </si>
  <si>
    <t>Purchase Of Stock-In Trade</t>
  </si>
  <si>
    <t>Deferred Tax Liabilities [Net]</t>
  </si>
  <si>
    <t>Changes In Inventories Of FG,WIP And Stock-In Trade</t>
  </si>
  <si>
    <t>Other Long Term Liabilities</t>
  </si>
  <si>
    <t>Employee Benefit Expenses</t>
  </si>
  <si>
    <t>Long Term Provisions</t>
  </si>
  <si>
    <t>Finance Costs</t>
  </si>
  <si>
    <t>Total Non-Current Liabilities</t>
  </si>
  <si>
    <t>Depreciation And Amortisation Expenses</t>
  </si>
  <si>
    <t>Other Expenses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</si>
  <si>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</si>
  <si>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</si>
  <si>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</si>
  <si>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</si>
  <si>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</si>
  <si>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Total Capital And Liabilities</t>
  </si>
  <si>
    <t>Current Tax</t>
  </si>
  <si>
    <t>ASSETS</t>
  </si>
  <si>
    <t>Deferred Tax</t>
  </si>
  <si>
    <t>NON-CURRENT ASSETS</t>
  </si>
  <si>
    <t>Total Tax Expenses</t>
  </si>
  <si>
    <t>Tangible Assets</t>
  </si>
  <si>
    <t>Profit/Loss After Tax And Before ExtraOrdinary Items</t>
  </si>
  <si>
    <t>Intangible Assets</t>
  </si>
  <si>
    <t>Profit/Loss From Continuing Operations</t>
  </si>
  <si>
    <t>Capital Work-In-Progress</t>
  </si>
  <si>
    <t>Profit/Loss For The Period</t>
  </si>
  <si>
    <t>Intangible Assets Under Development</t>
  </si>
  <si>
    <t>Share Of Profit/Loss Of Associates</t>
  </si>
  <si>
    <t>Fixed Assets</t>
  </si>
  <si>
    <t>Consolidated Profit/Loss After MI And Associates</t>
  </si>
  <si>
    <t>Non-Current Investments</t>
  </si>
  <si>
    <t>OTHER ADDITIONAL INFORMATION</t>
  </si>
  <si>
    <t>Deferred Tax Assets [Net]</t>
  </si>
  <si>
    <t>EARNINGS PER SHARE</t>
  </si>
  <si>
    <t>Long Term Loans And Advances</t>
  </si>
  <si>
    <t>Basic EPS (Rs.)</t>
  </si>
  <si>
    <t>Other Non-Current Assets</t>
  </si>
  <si>
    <t>Diluted EPS (Rs.)</t>
  </si>
  <si>
    <t>Total Non-Current Assets</t>
  </si>
  <si>
    <t>DIVIDEND AND DIVIDEND PERCENTAGE</t>
  </si>
  <si>
    <t>Equity Share Dividend</t>
  </si>
  <si>
    <t>Short Term Loans And Advances</t>
  </si>
  <si>
    <t>Total Assets</t>
  </si>
  <si>
    <t>CONTINGENT LIABILITIES,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</si>
  <si>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</si>
  <si>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</si>
  <si>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</si>
  <si>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</si>
  <si>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</si>
  <si>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</si>
  <si>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</si>
  <si>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</si>
  <si>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</si>
  <si>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Source: Money control</t>
  </si>
  <si>
    <t>Capital Expenditure includes disposabled assets</t>
  </si>
  <si>
    <t>Tax Rate: New provision inserted in the income tax act (Sept 2019) with effect from fiscal year 2019-20, allows any domestic company to pay income tax at the rate of 25.17% subject to condition they will not avail any incentive or exemptions.</t>
  </si>
  <si>
    <t>FCF = EBIT * (1 - Tax Rate) + Depreciation &amp; Amortization - Change in Working Capital - Capital Ependiture</t>
  </si>
  <si>
    <t>Other Expenses include non-operating expenses like Rent, Stationary, etc</t>
  </si>
  <si>
    <t>Opening and Closing Balances already account for D%A (Taken from Annual Reports)</t>
  </si>
  <si>
    <t>add 3% due to future plans as mentioned in annual reports, further decreases by 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</si>
</sst>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0.0%"/>
    <numFmt numFmtId="166" formatCode="_ * #,##0_ ;_ * \-#,##0_ ;_ * &quot;-&quot;??_ ;_ @_ "/>
    <numFmt numFmtId="167" formatCode="#,##0.0"/>
    <numFmt numFmtId="168" formatCode="0.0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232A3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7"/>
      <color rgb="FF000000"/>
      <name val="Tahoma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12"/>
      <color theme="9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EEEEEE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2">
    <xf numFmtId="0" fontId="0" fillId="0" borderId="0" xfId="0"/>
    <xf numFmtId="0" fontId="4" fillId="0" borderId="0" xfId="0" applyFont="1"/>
    <xf numFmtId="17" fontId="4" fillId="0" borderId="0" xfId="0" applyNumberFormat="1" applyFont="1"/>
    <xf numFmtId="0" fontId="5" fillId="0" borderId="0" xfId="0" applyFont="1"/>
    <xf numFmtId="4" fontId="0" fillId="0" borderId="0" xfId="0" applyNumberFormat="1"/>
    <xf numFmtId="4" fontId="4" fillId="0" borderId="0" xfId="0" applyNumberFormat="1" applyFont="1"/>
    <xf numFmtId="4" fontId="5" fillId="0" borderId="0" xfId="0" applyNumberFormat="1" applyFont="1"/>
    <xf numFmtId="0" fontId="0" fillId="0" borderId="0" xfId="0" applyAlignment="1">
      <alignment horizontal="center"/>
    </xf>
    <xf numFmtId="0" fontId="6" fillId="0" borderId="0" xfId="0" applyFont="1"/>
    <xf numFmtId="9" fontId="0" fillId="0" borderId="0" xfId="2" applyFont="1"/>
    <xf numFmtId="165" fontId="0" fillId="0" borderId="0" xfId="2" applyNumberFormat="1" applyFont="1"/>
    <xf numFmtId="10" fontId="0" fillId="0" borderId="0" xfId="2" applyNumberFormat="1" applyFont="1"/>
    <xf numFmtId="10" fontId="0" fillId="0" borderId="0" xfId="0" applyNumberFormat="1"/>
    <xf numFmtId="0" fontId="3" fillId="0" borderId="0" xfId="0" applyFont="1"/>
    <xf numFmtId="3" fontId="0" fillId="0" borderId="0" xfId="0" applyNumberFormat="1"/>
    <xf numFmtId="10" fontId="4" fillId="0" borderId="0" xfId="2" applyNumberFormat="1" applyFont="1"/>
    <xf numFmtId="0" fontId="7" fillId="0" borderId="0" xfId="0" applyFont="1" applyAlignment="1">
      <alignment horizontal="center"/>
    </xf>
    <xf numFmtId="166" fontId="0" fillId="0" borderId="0" xfId="0" applyNumberFormat="1"/>
    <xf numFmtId="166" fontId="0" fillId="0" borderId="0" xfId="1" applyNumberFormat="1" applyFont="1"/>
    <xf numFmtId="0" fontId="0" fillId="0" borderId="0" xfId="1" applyNumberFormat="1" applyFont="1" applyFill="1"/>
    <xf numFmtId="0" fontId="0" fillId="0" borderId="0" xfId="1" applyNumberFormat="1" applyFont="1"/>
    <xf numFmtId="164" fontId="0" fillId="0" borderId="0" xfId="0" applyNumberFormat="1"/>
    <xf numFmtId="164" fontId="7" fillId="0" borderId="0" xfId="0" applyNumberFormat="1" applyFont="1"/>
    <xf numFmtId="164" fontId="8" fillId="0" borderId="0" xfId="0" applyNumberFormat="1" applyFont="1"/>
    <xf numFmtId="0" fontId="0" fillId="0" borderId="3" xfId="0" applyBorder="1" applyAlignment="1">
      <alignment horizontal="center"/>
    </xf>
    <xf numFmtId="0" fontId="0" fillId="0" borderId="4" xfId="0" applyBorder="1"/>
    <xf numFmtId="10" fontId="0" fillId="0" borderId="4" xfId="2" applyNumberFormat="1" applyFont="1" applyBorder="1" applyAlignment="1">
      <alignment horizontal="right"/>
    </xf>
    <xf numFmtId="0" fontId="0" fillId="0" borderId="5" xfId="0" applyBorder="1" applyAlignment="1">
      <alignment horizontal="center"/>
    </xf>
    <xf numFmtId="10" fontId="0" fillId="0" borderId="6" xfId="2" applyNumberFormat="1" applyFont="1" applyBorder="1" applyAlignment="1">
      <alignment horizontal="right"/>
    </xf>
    <xf numFmtId="10" fontId="0" fillId="0" borderId="6" xfId="0" applyNumberFormat="1" applyBorder="1"/>
    <xf numFmtId="0" fontId="0" fillId="0" borderId="3" xfId="0" applyBorder="1" applyAlignment="1">
      <alignment horizontal="center" vertical="center"/>
    </xf>
    <xf numFmtId="10" fontId="0" fillId="0" borderId="4" xfId="2" applyNumberFormat="1" applyFont="1" applyBorder="1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0" fillId="0" borderId="6" xfId="0" applyBorder="1"/>
    <xf numFmtId="0" fontId="3" fillId="0" borderId="1" xfId="0" applyFont="1" applyBorder="1" applyAlignment="1">
      <alignment horizontal="center" vertical="center"/>
    </xf>
    <xf numFmtId="10" fontId="0" fillId="0" borderId="2" xfId="2" applyNumberFormat="1" applyFont="1" applyBorder="1"/>
    <xf numFmtId="0" fontId="0" fillId="0" borderId="9" xfId="0" applyBorder="1"/>
    <xf numFmtId="3" fontId="0" fillId="0" borderId="7" xfId="0" applyNumberFormat="1" applyBorder="1"/>
    <xf numFmtId="167" fontId="9" fillId="0" borderId="9" xfId="0" applyNumberFormat="1" applyFont="1" applyBorder="1"/>
    <xf numFmtId="3" fontId="0" fillId="0" borderId="4" xfId="0" applyNumberFormat="1" applyBorder="1"/>
    <xf numFmtId="0" fontId="3" fillId="0" borderId="0" xfId="0" applyFont="1" applyAlignment="1">
      <alignment horizontal="center"/>
    </xf>
    <xf numFmtId="0" fontId="10" fillId="0" borderId="0" xfId="0" applyFont="1"/>
    <xf numFmtId="4" fontId="5" fillId="0" borderId="10" xfId="0" applyNumberFormat="1" applyFont="1" applyBorder="1"/>
    <xf numFmtId="0" fontId="5" fillId="0" borderId="10" xfId="0" applyFont="1" applyBorder="1"/>
    <xf numFmtId="9" fontId="0" fillId="0" borderId="11" xfId="2" applyFont="1" applyBorder="1"/>
    <xf numFmtId="0" fontId="4" fillId="0" borderId="14" xfId="0" applyFont="1" applyBorder="1"/>
    <xf numFmtId="17" fontId="4" fillId="0" borderId="15" xfId="0" applyNumberFormat="1" applyFont="1" applyBorder="1"/>
    <xf numFmtId="17" fontId="4" fillId="0" borderId="16" xfId="0" applyNumberFormat="1" applyFont="1" applyBorder="1"/>
    <xf numFmtId="0" fontId="4" fillId="0" borderId="17" xfId="0" applyFont="1" applyBorder="1"/>
    <xf numFmtId="0" fontId="4" fillId="0" borderId="18" xfId="0" applyFont="1" applyBorder="1"/>
    <xf numFmtId="9" fontId="0" fillId="0" borderId="12" xfId="2" applyFont="1" applyBorder="1"/>
    <xf numFmtId="9" fontId="0" fillId="0" borderId="0" xfId="0" applyNumberFormat="1"/>
    <xf numFmtId="0" fontId="4" fillId="0" borderId="19" xfId="0" applyFont="1" applyBorder="1" applyAlignment="1">
      <alignment vertical="center" wrapText="1"/>
    </xf>
    <xf numFmtId="0" fontId="4" fillId="0" borderId="19" xfId="0" applyFont="1" applyBorder="1" applyAlignment="1">
      <alignment horizontal="right" vertical="center" wrapText="1"/>
    </xf>
    <xf numFmtId="17" fontId="4" fillId="0" borderId="19" xfId="0" applyNumberFormat="1" applyFont="1" applyBorder="1" applyAlignment="1">
      <alignment horizontal="right" vertical="center" wrapText="1"/>
    </xf>
    <xf numFmtId="0" fontId="5" fillId="0" borderId="19" xfId="0" applyFont="1" applyBorder="1" applyAlignment="1">
      <alignment vertical="center" wrapText="1"/>
    </xf>
    <xf numFmtId="0" fontId="5" fillId="0" borderId="19" xfId="0" applyFont="1" applyBorder="1" applyAlignment="1">
      <alignment horizontal="righ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4" fontId="5" fillId="0" borderId="19" xfId="0" applyNumberFormat="1" applyFont="1" applyBorder="1" applyAlignment="1">
      <alignment horizontal="right" vertical="center" wrapText="1"/>
    </xf>
    <xf numFmtId="4" fontId="4" fillId="0" borderId="19" xfId="0" applyNumberFormat="1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13" fillId="0" borderId="0" xfId="0" applyFont="1"/>
    <xf numFmtId="0" fontId="4" fillId="0" borderId="0" xfId="0" applyFont="1" applyAlignment="1">
      <alignment vertical="center"/>
    </xf>
    <xf numFmtId="164" fontId="16" fillId="0" borderId="0" xfId="3" applyNumberFormat="1" applyFont="1" applyFill="1"/>
    <xf numFmtId="0" fontId="16" fillId="0" borderId="0" xfId="5" applyFont="1" applyFill="1"/>
    <xf numFmtId="164" fontId="16" fillId="0" borderId="0" xfId="5" applyNumberFormat="1" applyFont="1" applyFill="1"/>
    <xf numFmtId="0" fontId="16" fillId="0" borderId="0" xfId="4" applyFont="1" applyFill="1"/>
    <xf numFmtId="0" fontId="0" fillId="0" borderId="1" xfId="0" applyBorder="1" applyAlignment="1">
      <alignment horizontal="center"/>
    </xf>
    <xf numFmtId="165" fontId="0" fillId="0" borderId="2" xfId="0" applyNumberFormat="1" applyBorder="1"/>
    <xf numFmtId="0" fontId="5" fillId="0" borderId="0" xfId="0" applyFont="1" applyAlignment="1">
      <alignment vertical="center" wrapText="1"/>
    </xf>
    <xf numFmtId="165" fontId="5" fillId="0" borderId="0" xfId="2" applyNumberFormat="1" applyFont="1" applyBorder="1"/>
    <xf numFmtId="165" fontId="5" fillId="0" borderId="10" xfId="2" applyNumberFormat="1" applyFont="1" applyBorder="1"/>
    <xf numFmtId="9" fontId="5" fillId="0" borderId="0" xfId="2" applyFont="1" applyBorder="1"/>
    <xf numFmtId="9" fontId="5" fillId="0" borderId="10" xfId="2" applyFont="1" applyBorder="1"/>
    <xf numFmtId="9" fontId="5" fillId="0" borderId="11" xfId="2" applyFont="1" applyBorder="1"/>
    <xf numFmtId="9" fontId="5" fillId="0" borderId="12" xfId="2" applyFont="1" applyBorder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18" xfId="0" applyFont="1" applyBorder="1"/>
    <xf numFmtId="9" fontId="0" fillId="0" borderId="22" xfId="2" applyFont="1" applyBorder="1"/>
    <xf numFmtId="9" fontId="0" fillId="0" borderId="23" xfId="2" applyFont="1" applyBorder="1"/>
    <xf numFmtId="0" fontId="4" fillId="0" borderId="24" xfId="0" applyFont="1" applyBorder="1"/>
    <xf numFmtId="0" fontId="0" fillId="0" borderId="25" xfId="0" applyBorder="1"/>
    <xf numFmtId="9" fontId="0" fillId="0" borderId="9" xfId="0" applyNumberFormat="1" applyBorder="1"/>
    <xf numFmtId="9" fontId="0" fillId="0" borderId="6" xfId="0" applyNumberFormat="1" applyBorder="1"/>
    <xf numFmtId="0" fontId="0" fillId="0" borderId="3" xfId="0" applyBorder="1"/>
    <xf numFmtId="9" fontId="0" fillId="0" borderId="4" xfId="0" applyNumberFormat="1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10" fontId="0" fillId="0" borderId="4" xfId="0" applyNumberFormat="1" applyBorder="1"/>
    <xf numFmtId="2" fontId="0" fillId="0" borderId="0" xfId="0" applyNumberFormat="1"/>
    <xf numFmtId="0" fontId="5" fillId="0" borderId="21" xfId="0" applyFont="1" applyBorder="1" applyAlignment="1">
      <alignment horizontal="right" vertical="center" wrapText="1"/>
    </xf>
    <xf numFmtId="4" fontId="5" fillId="0" borderId="21" xfId="0" applyNumberFormat="1" applyFont="1" applyBorder="1" applyAlignment="1">
      <alignment horizontal="right" vertical="center" wrapText="1"/>
    </xf>
    <xf numFmtId="4" fontId="4" fillId="0" borderId="21" xfId="0" applyNumberFormat="1" applyFont="1" applyBorder="1" applyAlignment="1">
      <alignment horizontal="right" vertical="center" wrapText="1"/>
    </xf>
    <xf numFmtId="17" fontId="4" fillId="0" borderId="10" xfId="0" applyNumberFormat="1" applyFont="1" applyBorder="1"/>
    <xf numFmtId="0" fontId="5" fillId="0" borderId="17" xfId="0" applyFont="1" applyBorder="1" applyAlignment="1">
      <alignment vertical="center" wrapText="1"/>
    </xf>
    <xf numFmtId="0" fontId="5" fillId="0" borderId="26" xfId="0" applyFont="1" applyBorder="1" applyAlignment="1">
      <alignment horizontal="right" vertical="center" wrapText="1"/>
    </xf>
    <xf numFmtId="4" fontId="5" fillId="0" borderId="26" xfId="0" applyNumberFormat="1" applyFont="1" applyBorder="1" applyAlignment="1">
      <alignment horizontal="right" vertical="center" wrapText="1"/>
    </xf>
    <xf numFmtId="0" fontId="4" fillId="0" borderId="17" xfId="0" applyFont="1" applyBorder="1" applyAlignment="1">
      <alignment vertical="center" wrapText="1"/>
    </xf>
    <xf numFmtId="0" fontId="3" fillId="0" borderId="10" xfId="0" applyFont="1" applyBorder="1"/>
    <xf numFmtId="4" fontId="4" fillId="0" borderId="26" xfId="0" applyNumberFormat="1" applyFont="1" applyBorder="1" applyAlignment="1">
      <alignment horizontal="right" vertical="center" wrapText="1"/>
    </xf>
    <xf numFmtId="4" fontId="0" fillId="0" borderId="10" xfId="0" applyNumberFormat="1" applyBorder="1"/>
    <xf numFmtId="165" fontId="0" fillId="0" borderId="9" xfId="0" applyNumberFormat="1" applyBorder="1"/>
    <xf numFmtId="0" fontId="5" fillId="0" borderId="27" xfId="0" applyFont="1" applyBorder="1" applyAlignment="1">
      <alignment vertical="center" wrapText="1"/>
    </xf>
    <xf numFmtId="165" fontId="0" fillId="0" borderId="28" xfId="2" applyNumberFormat="1" applyFont="1" applyBorder="1"/>
    <xf numFmtId="0" fontId="0" fillId="0" borderId="29" xfId="0" applyBorder="1"/>
    <xf numFmtId="0" fontId="21" fillId="5" borderId="0" xfId="0" applyFont="1" applyFill="1"/>
    <xf numFmtId="168" fontId="0" fillId="0" borderId="0" xfId="0" applyNumberFormat="1"/>
    <xf numFmtId="1" fontId="0" fillId="0" borderId="0" xfId="0" applyNumberFormat="1"/>
    <xf numFmtId="10" fontId="3" fillId="0" borderId="0" xfId="0" applyNumberFormat="1" applyFont="1"/>
    <xf numFmtId="0" fontId="3" fillId="0" borderId="25" xfId="0" applyFont="1" applyBorder="1"/>
    <xf numFmtId="0" fontId="0" fillId="0" borderId="13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3" fillId="0" borderId="33" xfId="0" applyFont="1" applyBorder="1"/>
    <xf numFmtId="0" fontId="0" fillId="0" borderId="33" xfId="0" applyBorder="1"/>
    <xf numFmtId="165" fontId="0" fillId="0" borderId="0" xfId="2" applyNumberFormat="1" applyFont="1" applyBorder="1"/>
    <xf numFmtId="165" fontId="0" fillId="0" borderId="0" xfId="0" applyNumberFormat="1"/>
    <xf numFmtId="165" fontId="0" fillId="0" borderId="31" xfId="2" applyNumberFormat="1" applyFont="1" applyBorder="1"/>
    <xf numFmtId="165" fontId="0" fillId="0" borderId="13" xfId="0" applyNumberFormat="1" applyBorder="1"/>
    <xf numFmtId="165" fontId="0" fillId="6" borderId="33" xfId="2" applyNumberFormat="1" applyFont="1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</cellXfs>
  <cellStyles count="6">
    <cellStyle name="40% - Accent1" xfId="4" builtinId="31"/>
    <cellStyle name="60% - Accent2" xfId="5" builtinId="36"/>
    <cellStyle name="Comma" xfId="1" builtinId="3"/>
    <cellStyle name="Neutral" xfId="3" builtinId="2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	Growth</a:t>
            </a:r>
            <a:r>
              <a:rPr lang="en-GB" baseline="0"/>
              <a:t> Prediction</a:t>
            </a:r>
            <a:endParaRPr lang="en-GB"/>
          </a:p>
        </c:rich>
      </c:tx>
      <c:layout>
        <c:manualLayout>
          <c:xMode val="edge"/>
          <c:yMode val="edge"/>
          <c:x val="0.37172883705679366"/>
          <c:y val="3.5593990837490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'Growth Rate Calculation'!$C$7:$L$7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cat>
          <c:val>
            <c:numRef>
              <c:f>'Growth Rate Calculation'!$C$8:$L$8</c:f>
              <c:numCache>
                <c:formatCode>#,##0.00</c:formatCode>
                <c:ptCount val="10"/>
                <c:pt idx="0">
                  <c:v>6598.9</c:v>
                </c:pt>
                <c:pt idx="1">
                  <c:v>7803.1</c:v>
                </c:pt>
                <c:pt idx="2">
                  <c:v>8515.34</c:v>
                </c:pt>
                <c:pt idx="3">
                  <c:v>8742.4</c:v>
                </c:pt>
                <c:pt idx="4">
                  <c:v>9583.7000000000007</c:v>
                </c:pt>
                <c:pt idx="5">
                  <c:v>9861.74</c:v>
                </c:pt>
                <c:pt idx="6">
                  <c:v>10221.07</c:v>
                </c:pt>
                <c:pt idx="7">
                  <c:v>9826.51</c:v>
                </c:pt>
                <c:pt idx="8">
                  <c:v>10936.01</c:v>
                </c:pt>
                <c:pt idx="9">
                  <c:v>12174.22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20-194A-844B-90B69EFD1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501904"/>
        <c:axId val="1519257776"/>
      </c:lineChart>
      <c:catAx>
        <c:axId val="151850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57776"/>
        <c:crosses val="autoZero"/>
        <c:auto val="1"/>
        <c:lblAlgn val="ctr"/>
        <c:lblOffset val="100"/>
        <c:noMultiLvlLbl val="0"/>
      </c:catAx>
      <c:valAx>
        <c:axId val="151925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0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0</xdr:rowOff>
    </xdr:from>
    <xdr:to>
      <xdr:col>6</xdr:col>
      <xdr:colOff>101600</xdr:colOff>
      <xdr:row>7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32CCCC-E3DA-1E46-A48E-3B3E595D2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28200" y="1625600"/>
          <a:ext cx="1016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12834</xdr:colOff>
      <xdr:row>5</xdr:row>
      <xdr:rowOff>55169</xdr:rowOff>
    </xdr:from>
    <xdr:to>
      <xdr:col>23</xdr:col>
      <xdr:colOff>569177</xdr:colOff>
      <xdr:row>22</xdr:row>
      <xdr:rowOff>168787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F31EA5-12E8-2CBE-9B8D-334F90D1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101600</xdr:colOff>
      <xdr:row>4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1C7F2-BB46-ACFF-ED85-3C420C25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12800"/>
          <a:ext cx="1016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101600</xdr:colOff>
      <xdr:row>4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E669D8-31B6-A789-86E4-2B32F002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9200"/>
          <a:ext cx="1016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101600</xdr:colOff>
      <xdr:row>6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117D81-ABA0-64E7-B990-CAAC337DC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5900" y="812800"/>
          <a:ext cx="1016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101600</xdr:colOff>
      <xdr:row>8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C3C53D-8DCF-C654-CA5F-7E310FA04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5900" y="1219200"/>
          <a:ext cx="101600" cy="10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76200</xdr:colOff>
      <xdr:row>5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2A94650-21C4-C095-4F2B-37DB4C71C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88540" y="9601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76200</xdr:colOff>
      <xdr:row>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745DF1-A459-EB07-B15E-77EDB8431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88540" y="13563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76200</xdr:colOff>
      <xdr:row>5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8C4CBBB-41F3-D582-33AB-7829F24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7620" y="11582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76200</xdr:colOff>
      <xdr:row>5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3202AE9-C3DA-6638-187A-EFCB332D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7620" y="1554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59</xdr:row>
      <xdr:rowOff>0</xdr:rowOff>
    </xdr:from>
    <xdr:to>
      <xdr:col>20</xdr:col>
      <xdr:colOff>76200</xdr:colOff>
      <xdr:row>59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1F0A13B-CEBD-63B4-09FF-B5B961F5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7620" y="15544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61</xdr:row>
      <xdr:rowOff>0</xdr:rowOff>
    </xdr:from>
    <xdr:to>
      <xdr:col>20</xdr:col>
      <xdr:colOff>76200</xdr:colOff>
      <xdr:row>61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AB3E4F6-E480-5181-BA69-2D607DE0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7620" y="159410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25</xdr:col>
      <xdr:colOff>76200</xdr:colOff>
      <xdr:row>4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E70BC7-FEA1-44F6-DF22-C6B7F5493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62480" y="792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76200</xdr:colOff>
      <xdr:row>6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4175D42-213B-5D9B-F712-A51B0B8A3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62480" y="11887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4</xdr:row>
      <xdr:rowOff>0</xdr:rowOff>
    </xdr:from>
    <xdr:to>
      <xdr:col>31</xdr:col>
      <xdr:colOff>76200</xdr:colOff>
      <xdr:row>4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487911F-CCF7-DBAF-68FE-8896ECE9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83120" y="792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76200</xdr:colOff>
      <xdr:row>6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886920-51DC-61EC-A5B5-5B806213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83120" y="11887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1656-2656-5043-ADB5-00F124F35664}">
  <sheetPr codeName="Sheet2"/>
  <dimension ref="B5:M32"/>
  <sheetViews>
    <sheetView zoomScale="75" workbookViewId="0">
      <selection activeCell="H24" sqref="H24"/>
    </sheetView>
  </sheetViews>
  <sheetFormatPr baseColWidth="10" defaultColWidth="11.1640625" defaultRowHeight="16" x14ac:dyDescent="0.2"/>
  <cols>
    <col min="2" max="2" width="34.5" bestFit="1" customWidth="1"/>
    <col min="9" max="9" width="18.5" customWidth="1"/>
    <col min="12" max="12" width="11.6640625" customWidth="1"/>
    <col min="13" max="13" width="13.6640625" bestFit="1" customWidth="1"/>
  </cols>
  <sheetData>
    <row r="5" spans="2:13" x14ac:dyDescent="0.2">
      <c r="B5" t="s">
        <v>0</v>
      </c>
    </row>
    <row r="7" spans="2:13" x14ac:dyDescent="0.2">
      <c r="C7" s="13">
        <v>2013</v>
      </c>
      <c r="D7" s="1">
        <f>(C7+1)</f>
        <v>2014</v>
      </c>
      <c r="E7" s="1">
        <f t="shared" ref="E7:L7" si="0">(D7+1)</f>
        <v>2015</v>
      </c>
      <c r="F7" s="1">
        <f t="shared" si="0"/>
        <v>2016</v>
      </c>
      <c r="G7" s="1">
        <f t="shared" si="0"/>
        <v>2017</v>
      </c>
      <c r="H7" s="1">
        <f t="shared" si="0"/>
        <v>2018</v>
      </c>
      <c r="I7" s="1">
        <f t="shared" si="0"/>
        <v>2019</v>
      </c>
      <c r="J7" s="1">
        <f t="shared" si="0"/>
        <v>2020</v>
      </c>
      <c r="K7" s="1">
        <f t="shared" si="0"/>
        <v>2021</v>
      </c>
      <c r="L7" s="1">
        <f t="shared" si="0"/>
        <v>2022</v>
      </c>
      <c r="M7" s="1"/>
    </row>
    <row r="8" spans="2:13" x14ac:dyDescent="0.2">
      <c r="B8" s="8" t="s">
        <v>1</v>
      </c>
      <c r="C8" s="5">
        <v>6598.9</v>
      </c>
      <c r="D8" s="5">
        <v>7803.1</v>
      </c>
      <c r="E8" s="5">
        <v>8515.34</v>
      </c>
      <c r="F8" s="5">
        <v>8742.4</v>
      </c>
      <c r="G8" s="5">
        <v>9583.7000000000007</v>
      </c>
      <c r="H8" s="5">
        <v>9861.74</v>
      </c>
      <c r="I8" s="5">
        <v>10221.07</v>
      </c>
      <c r="J8" s="5">
        <v>9826.51</v>
      </c>
      <c r="K8" s="5">
        <v>10936.01</v>
      </c>
      <c r="L8" s="5">
        <v>12174.22</v>
      </c>
    </row>
    <row r="9" spans="2:13" x14ac:dyDescent="0.2">
      <c r="B9" t="s">
        <v>2</v>
      </c>
      <c r="D9" s="11">
        <f t="shared" ref="D9:L9" si="1">(D8-C8)/C8</f>
        <v>0.18248495961448133</v>
      </c>
      <c r="E9" s="11">
        <f t="shared" si="1"/>
        <v>9.1276543937665766E-2</v>
      </c>
      <c r="F9" s="11">
        <f t="shared" si="1"/>
        <v>2.6664819020731936E-2</v>
      </c>
      <c r="G9" s="11">
        <f t="shared" si="1"/>
        <v>9.6232155929721938E-2</v>
      </c>
      <c r="H9" s="11">
        <f t="shared" si="1"/>
        <v>2.9011759550069287E-2</v>
      </c>
      <c r="I9" s="11">
        <f t="shared" si="1"/>
        <v>3.6436774849063137E-2</v>
      </c>
      <c r="J9" s="11">
        <f t="shared" si="1"/>
        <v>-3.8602612055293577E-2</v>
      </c>
      <c r="K9" s="11">
        <f t="shared" si="1"/>
        <v>0.11290885573820207</v>
      </c>
      <c r="L9" s="11">
        <f t="shared" si="1"/>
        <v>0.11322319566276906</v>
      </c>
    </row>
    <row r="10" spans="2:13" x14ac:dyDescent="0.2">
      <c r="M10" s="12"/>
    </row>
    <row r="11" spans="2:13" x14ac:dyDescent="0.2">
      <c r="L11" t="s">
        <v>3</v>
      </c>
      <c r="M11" s="117">
        <f>AVERAGE(D9:L9)</f>
        <v>7.2181828027490111E-2</v>
      </c>
    </row>
    <row r="13" spans="2:13" x14ac:dyDescent="0.2">
      <c r="L13" s="12"/>
    </row>
    <row r="14" spans="2:13" x14ac:dyDescent="0.2">
      <c r="B14" t="s">
        <v>4</v>
      </c>
    </row>
    <row r="16" spans="2:13" x14ac:dyDescent="0.2">
      <c r="B16" t="s">
        <v>5</v>
      </c>
    </row>
    <row r="17" spans="2:10" x14ac:dyDescent="0.2">
      <c r="I17" s="12"/>
    </row>
    <row r="18" spans="2:10" x14ac:dyDescent="0.2">
      <c r="B18" s="118" t="s">
        <v>6</v>
      </c>
      <c r="C18" s="119" t="s">
        <v>7</v>
      </c>
      <c r="D18" s="119" t="s">
        <v>8</v>
      </c>
      <c r="E18" s="119" t="s">
        <v>9</v>
      </c>
      <c r="F18" s="119" t="s">
        <v>10</v>
      </c>
      <c r="G18" s="119" t="s">
        <v>11</v>
      </c>
      <c r="H18" s="96" t="s">
        <v>12</v>
      </c>
    </row>
    <row r="19" spans="2:10" x14ac:dyDescent="0.2">
      <c r="B19" s="120" t="s">
        <v>13</v>
      </c>
      <c r="C19">
        <v>2305</v>
      </c>
      <c r="D19">
        <v>2373</v>
      </c>
      <c r="E19">
        <v>2263</v>
      </c>
      <c r="F19">
        <v>2254</v>
      </c>
      <c r="G19">
        <v>2190</v>
      </c>
      <c r="H19" s="25">
        <v>2534</v>
      </c>
    </row>
    <row r="20" spans="2:10" x14ac:dyDescent="0.2">
      <c r="B20" s="121" t="s">
        <v>14</v>
      </c>
      <c r="C20">
        <v>1590</v>
      </c>
      <c r="D20">
        <v>1562</v>
      </c>
      <c r="E20">
        <v>1802</v>
      </c>
      <c r="F20">
        <v>1892</v>
      </c>
      <c r="G20">
        <v>1776</v>
      </c>
      <c r="H20" s="25">
        <v>2047</v>
      </c>
    </row>
    <row r="21" spans="2:10" x14ac:dyDescent="0.2">
      <c r="B21" s="121" t="s">
        <v>15</v>
      </c>
      <c r="C21">
        <v>578</v>
      </c>
      <c r="D21">
        <v>602</v>
      </c>
      <c r="E21">
        <v>622</v>
      </c>
      <c r="F21">
        <v>673</v>
      </c>
      <c r="G21">
        <v>627</v>
      </c>
      <c r="H21" s="25">
        <v>642</v>
      </c>
    </row>
    <row r="22" spans="2:10" x14ac:dyDescent="0.2">
      <c r="B22" s="121" t="s">
        <v>16</v>
      </c>
      <c r="C22">
        <v>360</v>
      </c>
      <c r="D22">
        <v>494</v>
      </c>
      <c r="E22">
        <v>599</v>
      </c>
      <c r="F22">
        <v>740</v>
      </c>
      <c r="G22">
        <v>789</v>
      </c>
      <c r="H22" s="25">
        <v>861</v>
      </c>
    </row>
    <row r="23" spans="2:10" x14ac:dyDescent="0.2">
      <c r="B23" s="122" t="s">
        <v>17</v>
      </c>
      <c r="C23" s="33">
        <v>221</v>
      </c>
      <c r="D23" s="33">
        <v>226</v>
      </c>
      <c r="E23" s="33">
        <v>270</v>
      </c>
      <c r="F23" s="33">
        <v>303</v>
      </c>
      <c r="G23" s="33">
        <v>292</v>
      </c>
      <c r="H23" s="34">
        <v>331</v>
      </c>
    </row>
    <row r="26" spans="2:10" x14ac:dyDescent="0.2">
      <c r="B26" s="123" t="s">
        <v>18</v>
      </c>
      <c r="C26" s="119" t="s">
        <v>8</v>
      </c>
      <c r="D26" s="119" t="s">
        <v>9</v>
      </c>
      <c r="E26" s="119" t="s">
        <v>10</v>
      </c>
      <c r="F26" s="119" t="s">
        <v>11</v>
      </c>
      <c r="G26" s="119" t="s">
        <v>12</v>
      </c>
      <c r="H26" s="119"/>
      <c r="I26" s="124" t="s">
        <v>19</v>
      </c>
    </row>
    <row r="27" spans="2:10" x14ac:dyDescent="0.2">
      <c r="B27" s="120" t="s">
        <v>13</v>
      </c>
      <c r="C27" s="125">
        <f>(D19/C19)-1</f>
        <v>2.950108459869849E-2</v>
      </c>
      <c r="D27" s="125">
        <f t="shared" ref="D27:G27" si="2">(E19/D19)-1</f>
        <v>-4.6354825115887066E-2</v>
      </c>
      <c r="E27" s="125">
        <f t="shared" si="2"/>
        <v>-3.9770216526734403E-3</v>
      </c>
      <c r="F27" s="125">
        <f t="shared" si="2"/>
        <v>-2.8393966282165062E-2</v>
      </c>
      <c r="G27" s="125">
        <f t="shared" si="2"/>
        <v>0.1570776255707762</v>
      </c>
      <c r="H27" s="126"/>
      <c r="I27" s="127">
        <f>AVERAGE(C27:G27)</f>
        <v>2.1570579423749826E-2</v>
      </c>
    </row>
    <row r="28" spans="2:10" x14ac:dyDescent="0.2">
      <c r="B28" s="121" t="s">
        <v>14</v>
      </c>
      <c r="C28" s="125">
        <f t="shared" ref="C28:G31" si="3">(D20/C20)-1</f>
        <v>-1.7610062893081757E-2</v>
      </c>
      <c r="D28" s="125">
        <f t="shared" si="3"/>
        <v>0.15364916773367487</v>
      </c>
      <c r="E28" s="125">
        <f t="shared" si="3"/>
        <v>4.9944506104328434E-2</v>
      </c>
      <c r="F28" s="125">
        <f t="shared" si="3"/>
        <v>-6.1310782241014827E-2</v>
      </c>
      <c r="G28" s="125">
        <f t="shared" si="3"/>
        <v>0.15259009009009006</v>
      </c>
      <c r="H28" s="126"/>
      <c r="I28" s="127">
        <f>AVERAGE(C28:G28)</f>
        <v>5.5452583758799356E-2</v>
      </c>
    </row>
    <row r="29" spans="2:10" x14ac:dyDescent="0.2">
      <c r="B29" s="121" t="s">
        <v>15</v>
      </c>
      <c r="C29" s="125">
        <f t="shared" si="3"/>
        <v>4.1522491349480939E-2</v>
      </c>
      <c r="D29" s="125">
        <f t="shared" si="3"/>
        <v>3.3222591362126241E-2</v>
      </c>
      <c r="E29" s="125">
        <f t="shared" si="3"/>
        <v>8.1993569131832755E-2</v>
      </c>
      <c r="F29" s="125">
        <f t="shared" si="3"/>
        <v>-6.8350668647845447E-2</v>
      </c>
      <c r="G29" s="125">
        <f t="shared" si="3"/>
        <v>2.3923444976076569E-2</v>
      </c>
      <c r="H29" s="126"/>
      <c r="I29" s="127">
        <f>AVERAGE(C29:G29)</f>
        <v>2.2462285634334212E-2</v>
      </c>
    </row>
    <row r="30" spans="2:10" x14ac:dyDescent="0.2">
      <c r="B30" s="121" t="s">
        <v>16</v>
      </c>
      <c r="C30" s="125">
        <f t="shared" si="3"/>
        <v>0.37222222222222223</v>
      </c>
      <c r="D30" s="125">
        <f t="shared" si="3"/>
        <v>0.21255060728744946</v>
      </c>
      <c r="E30" s="125">
        <f t="shared" si="3"/>
        <v>0.23539232053422365</v>
      </c>
      <c r="F30" s="125">
        <f t="shared" si="3"/>
        <v>6.6216216216216317E-2</v>
      </c>
      <c r="G30" s="125">
        <f t="shared" si="3"/>
        <v>9.1254752851710919E-2</v>
      </c>
      <c r="H30" s="126"/>
      <c r="I30" s="127">
        <f>AVERAGE(C30:G30)</f>
        <v>0.19552722382236451</v>
      </c>
    </row>
    <row r="31" spans="2:10" x14ac:dyDescent="0.2">
      <c r="B31" s="121" t="s">
        <v>17</v>
      </c>
      <c r="C31" s="125">
        <f t="shared" si="3"/>
        <v>2.2624434389140191E-2</v>
      </c>
      <c r="D31" s="125">
        <f t="shared" si="3"/>
        <v>0.19469026548672574</v>
      </c>
      <c r="E31" s="125">
        <f t="shared" si="3"/>
        <v>0.12222222222222223</v>
      </c>
      <c r="F31" s="125">
        <f t="shared" si="3"/>
        <v>-3.6303630363036299E-2</v>
      </c>
      <c r="G31" s="125">
        <f t="shared" si="3"/>
        <v>0.13356164383561642</v>
      </c>
      <c r="H31" s="126"/>
      <c r="I31" s="127">
        <f>AVERAGE(C31:G31)</f>
        <v>8.735898711413366E-2</v>
      </c>
    </row>
    <row r="32" spans="2:10" x14ac:dyDescent="0.2">
      <c r="B32" s="124"/>
      <c r="C32" s="128"/>
      <c r="D32" s="128"/>
      <c r="E32" s="128"/>
      <c r="F32" s="128"/>
      <c r="G32" s="128"/>
      <c r="H32" s="128"/>
      <c r="I32" s="129">
        <f>AVERAGE(I27:I31)</f>
        <v>7.6474331950676308E-2</v>
      </c>
      <c r="J32" s="1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AC1D-C842-FB46-923D-939A29BF9E46}">
  <sheetPr codeName="Sheet3"/>
  <dimension ref="B3:O49"/>
  <sheetViews>
    <sheetView zoomScale="89" workbookViewId="0">
      <selection activeCell="B2" sqref="B2"/>
    </sheetView>
  </sheetViews>
  <sheetFormatPr baseColWidth="10" defaultColWidth="11.1640625" defaultRowHeight="16" x14ac:dyDescent="0.2"/>
  <cols>
    <col min="2" max="2" width="32.33203125" bestFit="1" customWidth="1"/>
    <col min="14" max="14" width="38.1640625" bestFit="1" customWidth="1"/>
  </cols>
  <sheetData>
    <row r="3" spans="2:13" x14ac:dyDescent="0.2">
      <c r="B3" s="1" t="s">
        <v>20</v>
      </c>
    </row>
    <row r="4" spans="2:13" ht="17" thickBot="1" x14ac:dyDescent="0.25"/>
    <row r="5" spans="2:13" x14ac:dyDescent="0.2">
      <c r="B5" s="46" t="s">
        <v>21</v>
      </c>
      <c r="C5" s="47">
        <v>44621</v>
      </c>
      <c r="D5" s="47">
        <v>44256</v>
      </c>
      <c r="E5" s="47">
        <v>43891</v>
      </c>
      <c r="F5" s="47">
        <v>43525</v>
      </c>
      <c r="G5" s="47">
        <v>43160</v>
      </c>
      <c r="H5" s="47">
        <v>42795</v>
      </c>
      <c r="I5" s="47">
        <v>42430</v>
      </c>
      <c r="J5" s="47">
        <v>42064</v>
      </c>
      <c r="K5" s="47">
        <v>41699</v>
      </c>
      <c r="L5" s="48">
        <v>41334</v>
      </c>
    </row>
    <row r="6" spans="2:13" x14ac:dyDescent="0.2">
      <c r="B6" s="49" t="s">
        <v>22</v>
      </c>
      <c r="C6" s="3">
        <v>1210.22</v>
      </c>
      <c r="D6" s="6">
        <v>1205.02</v>
      </c>
      <c r="E6" s="6">
        <v>1192.29</v>
      </c>
      <c r="F6" s="6">
        <v>1066.3599999999999</v>
      </c>
      <c r="G6" s="6">
        <v>942.58</v>
      </c>
      <c r="H6" s="6">
        <v>847.09</v>
      </c>
      <c r="I6" s="3">
        <v>558.11</v>
      </c>
      <c r="J6" s="3">
        <v>522.41999999999996</v>
      </c>
      <c r="K6" s="6">
        <v>502.13</v>
      </c>
      <c r="L6" s="43">
        <v>394.53</v>
      </c>
    </row>
    <row r="7" spans="2:13" x14ac:dyDescent="0.2">
      <c r="B7" s="49" t="s">
        <v>23</v>
      </c>
      <c r="C7" s="3">
        <v>30.98</v>
      </c>
      <c r="D7" s="3">
        <v>17.41</v>
      </c>
      <c r="E7" s="3">
        <v>12.22</v>
      </c>
      <c r="F7" s="3">
        <v>12.69</v>
      </c>
      <c r="G7" s="3">
        <v>10.75</v>
      </c>
      <c r="H7" s="3">
        <v>5.67</v>
      </c>
      <c r="I7" s="3">
        <v>79.06</v>
      </c>
      <c r="J7" s="3">
        <v>22.43</v>
      </c>
      <c r="K7" s="3">
        <v>19.420000000000002</v>
      </c>
      <c r="L7" s="44">
        <v>5.17</v>
      </c>
    </row>
    <row r="8" spans="2:13" x14ac:dyDescent="0.2">
      <c r="B8" s="49" t="s">
        <v>24</v>
      </c>
      <c r="D8" s="3">
        <f t="shared" ref="D8:L8" si="0">D9-D6+D7</f>
        <v>22.610000000000046</v>
      </c>
      <c r="E8" s="3">
        <f t="shared" si="0"/>
        <v>24.950000000000017</v>
      </c>
      <c r="F8" s="3">
        <f t="shared" si="0"/>
        <v>138.62000000000006</v>
      </c>
      <c r="G8" s="3">
        <f t="shared" si="0"/>
        <v>134.52999999999986</v>
      </c>
      <c r="H8" s="3">
        <f t="shared" si="0"/>
        <v>101.16000000000001</v>
      </c>
      <c r="I8" s="3">
        <f t="shared" si="0"/>
        <v>368.04</v>
      </c>
      <c r="J8" s="3">
        <f t="shared" si="0"/>
        <v>58.120000000000054</v>
      </c>
      <c r="K8" s="3">
        <f t="shared" si="0"/>
        <v>39.709999999999965</v>
      </c>
      <c r="L8" s="44">
        <f t="shared" si="0"/>
        <v>112.77000000000002</v>
      </c>
    </row>
    <row r="9" spans="2:13" x14ac:dyDescent="0.2">
      <c r="B9" s="49" t="s">
        <v>25</v>
      </c>
      <c r="C9" s="3">
        <v>1274.9100000000001</v>
      </c>
      <c r="D9" s="3">
        <v>1210.22</v>
      </c>
      <c r="E9" s="6">
        <v>1205.02</v>
      </c>
      <c r="F9" s="6">
        <v>1192.29</v>
      </c>
      <c r="G9" s="6">
        <v>1066.3599999999999</v>
      </c>
      <c r="H9" s="6">
        <v>942.58</v>
      </c>
      <c r="I9" s="6">
        <v>847.09</v>
      </c>
      <c r="J9" s="3">
        <v>558.11</v>
      </c>
      <c r="K9" s="3">
        <v>522.41999999999996</v>
      </c>
      <c r="L9" s="43">
        <v>502.13</v>
      </c>
    </row>
    <row r="10" spans="2:13" x14ac:dyDescent="0.2">
      <c r="B10" s="49" t="s">
        <v>26</v>
      </c>
      <c r="C10" s="3">
        <f>'Historical Financials'!C20</f>
        <v>209.93</v>
      </c>
      <c r="D10" s="3">
        <f>'Historical Financials'!D20</f>
        <v>203.85</v>
      </c>
      <c r="E10" s="3">
        <f>'Historical Financials'!E20</f>
        <v>197.28</v>
      </c>
      <c r="F10" s="3">
        <f>'Historical Financials'!F20</f>
        <v>169.98</v>
      </c>
      <c r="G10" s="3">
        <f>'Historical Financials'!G20</f>
        <v>155.68</v>
      </c>
      <c r="H10" s="3">
        <f>'Historical Financials'!H20</f>
        <v>141.57</v>
      </c>
      <c r="I10" s="3">
        <f>'Historical Financials'!I20</f>
        <v>100.63</v>
      </c>
      <c r="J10" s="3">
        <f>'Historical Financials'!J20</f>
        <v>90.78</v>
      </c>
      <c r="K10" s="3">
        <f>'Historical Financials'!K20</f>
        <v>81.849999999999994</v>
      </c>
      <c r="L10" s="44">
        <f>'Historical Financials'!L20</f>
        <v>77</v>
      </c>
    </row>
    <row r="11" spans="2:13" x14ac:dyDescent="0.2">
      <c r="B11" s="49" t="s">
        <v>27</v>
      </c>
      <c r="C11" s="76">
        <f>C10/C6</f>
        <v>0.17346432879972237</v>
      </c>
      <c r="D11" s="76">
        <f t="shared" ref="D11:L11" si="1">D10/D6</f>
        <v>0.1691673167250336</v>
      </c>
      <c r="E11" s="76">
        <f t="shared" si="1"/>
        <v>0.16546310042019979</v>
      </c>
      <c r="F11" s="76">
        <f t="shared" si="1"/>
        <v>0.15940207809745302</v>
      </c>
      <c r="G11" s="76">
        <f t="shared" si="1"/>
        <v>0.16516369963292241</v>
      </c>
      <c r="H11" s="76">
        <f t="shared" si="1"/>
        <v>0.16712509886788887</v>
      </c>
      <c r="I11" s="76">
        <f t="shared" si="1"/>
        <v>0.18030495780401712</v>
      </c>
      <c r="J11" s="76">
        <f t="shared" si="1"/>
        <v>0.17376823245664411</v>
      </c>
      <c r="K11" s="76">
        <f t="shared" si="1"/>
        <v>0.16300559616035687</v>
      </c>
      <c r="L11" s="77">
        <f t="shared" si="1"/>
        <v>0.19516893518870557</v>
      </c>
    </row>
    <row r="12" spans="2:13" ht="17" thickBot="1" x14ac:dyDescent="0.25">
      <c r="B12" s="50" t="s">
        <v>28</v>
      </c>
      <c r="C12" s="45">
        <f>'Free Cash Flows'!C14/C6</f>
        <v>7.9051742658359681E-2</v>
      </c>
      <c r="D12" s="45">
        <f t="shared" ref="D12:L12" si="2">D8/D6</f>
        <v>1.876317405520244E-2</v>
      </c>
      <c r="E12" s="45">
        <f t="shared" si="2"/>
        <v>2.0926116968187285E-2</v>
      </c>
      <c r="F12" s="45">
        <f t="shared" si="2"/>
        <v>0.12999362316666049</v>
      </c>
      <c r="G12" s="45">
        <f t="shared" si="2"/>
        <v>0.14272528591737554</v>
      </c>
      <c r="H12" s="45">
        <f t="shared" si="2"/>
        <v>0.11942060465830077</v>
      </c>
      <c r="I12" s="45">
        <f t="shared" si="2"/>
        <v>0.65943989536112957</v>
      </c>
      <c r="J12" s="45">
        <f t="shared" si="2"/>
        <v>0.11125148348072443</v>
      </c>
      <c r="K12" s="45">
        <f t="shared" si="2"/>
        <v>7.9083105968573805E-2</v>
      </c>
      <c r="L12" s="51">
        <f t="shared" si="2"/>
        <v>0.28583377689909523</v>
      </c>
    </row>
    <row r="13" spans="2:13" ht="17" thickBot="1" x14ac:dyDescent="0.25"/>
    <row r="14" spans="2:13" ht="17" thickBot="1" x14ac:dyDescent="0.25">
      <c r="B14" s="88" t="s">
        <v>29</v>
      </c>
      <c r="C14" s="86">
        <f t="shared" ref="C14:K14" si="3">(C9/D9)-1</f>
        <v>5.3453091173505607E-2</v>
      </c>
      <c r="D14" s="86">
        <f t="shared" si="3"/>
        <v>4.3152810741731162E-3</v>
      </c>
      <c r="E14" s="86">
        <f t="shared" si="3"/>
        <v>1.0676932625451885E-2</v>
      </c>
      <c r="F14" s="86">
        <f t="shared" si="3"/>
        <v>0.11809332683146412</v>
      </c>
      <c r="G14" s="86">
        <f t="shared" si="3"/>
        <v>0.13132041842602193</v>
      </c>
      <c r="H14" s="86">
        <f t="shared" si="3"/>
        <v>0.11272710101642103</v>
      </c>
      <c r="I14" s="86">
        <f t="shared" si="3"/>
        <v>0.51778323269606341</v>
      </c>
      <c r="J14" s="86">
        <f t="shared" si="3"/>
        <v>6.8316680065847457E-2</v>
      </c>
      <c r="K14" s="87">
        <f t="shared" si="3"/>
        <v>4.0407862505725589E-2</v>
      </c>
      <c r="L14" s="9"/>
    </row>
    <row r="15" spans="2:13" ht="17" thickBot="1" x14ac:dyDescent="0.25"/>
    <row r="16" spans="2:13" x14ac:dyDescent="0.2">
      <c r="B16" s="46" t="s">
        <v>30</v>
      </c>
      <c r="C16" s="83" t="s">
        <v>31</v>
      </c>
      <c r="D16" s="83" t="s">
        <v>32</v>
      </c>
      <c r="E16" s="83" t="s">
        <v>33</v>
      </c>
      <c r="F16" s="83" t="s">
        <v>34</v>
      </c>
      <c r="G16" s="83" t="s">
        <v>35</v>
      </c>
      <c r="H16" s="83" t="s">
        <v>36</v>
      </c>
      <c r="I16" s="83" t="s">
        <v>37</v>
      </c>
      <c r="J16" s="83" t="s">
        <v>38</v>
      </c>
      <c r="K16" s="83" t="s">
        <v>39</v>
      </c>
      <c r="L16" s="83" t="s">
        <v>40</v>
      </c>
      <c r="M16" s="84" t="s">
        <v>41</v>
      </c>
    </row>
    <row r="17" spans="2:15" x14ac:dyDescent="0.2">
      <c r="B17" s="49" t="s">
        <v>42</v>
      </c>
      <c r="C17">
        <f>C9</f>
        <v>1274.9100000000001</v>
      </c>
      <c r="D17">
        <f>C17*(1+D18)</f>
        <v>1462.9017019694816</v>
      </c>
      <c r="E17">
        <f t="shared" ref="E17:L17" si="4">D17*(1+E18)</f>
        <v>1673.2208980288985</v>
      </c>
      <c r="F17">
        <f t="shared" si="4"/>
        <v>1907.7634594250235</v>
      </c>
      <c r="G17">
        <f t="shared" si="4"/>
        <v>2168.4973742462062</v>
      </c>
      <c r="H17">
        <f t="shared" si="4"/>
        <v>2457.4565671176051</v>
      </c>
      <c r="I17">
        <f t="shared" si="4"/>
        <v>2776.7338960734314</v>
      </c>
      <c r="J17">
        <f t="shared" si="4"/>
        <v>3128.4733687406106</v>
      </c>
      <c r="K17">
        <f t="shared" si="4"/>
        <v>3514.861630563958</v>
      </c>
      <c r="L17">
        <f t="shared" si="4"/>
        <v>3938.1187876535355</v>
      </c>
      <c r="M17" s="80">
        <f>L17*(1+M18)</f>
        <v>4400.4886357729765</v>
      </c>
    </row>
    <row r="18" spans="2:15" ht="17" thickBot="1" x14ac:dyDescent="0.25">
      <c r="B18" s="85" t="s">
        <v>43</v>
      </c>
      <c r="C18" s="81"/>
      <c r="D18" s="82">
        <f>AVERAGE(C14:K14)+0.03</f>
        <v>0.14745488071274157</v>
      </c>
      <c r="E18" s="45">
        <f>D18*(1-0.025)</f>
        <v>0.14376850869492303</v>
      </c>
      <c r="F18" s="45">
        <f t="shared" ref="F18:L18" si="5">E18*(1-0.025)</f>
        <v>0.14017429597754993</v>
      </c>
      <c r="G18" s="45">
        <f t="shared" si="5"/>
        <v>0.13666993857811119</v>
      </c>
      <c r="H18" s="45">
        <f t="shared" si="5"/>
        <v>0.13325319011365841</v>
      </c>
      <c r="I18" s="45">
        <f t="shared" si="5"/>
        <v>0.12992186036081696</v>
      </c>
      <c r="J18" s="45">
        <f t="shared" si="5"/>
        <v>0.12667381385179655</v>
      </c>
      <c r="K18" s="45">
        <f t="shared" si="5"/>
        <v>0.12350696850550164</v>
      </c>
      <c r="L18" s="45">
        <f t="shared" si="5"/>
        <v>0.12041929429286409</v>
      </c>
      <c r="M18" s="51">
        <f>L18*(1-0.025)</f>
        <v>0.11740881193554248</v>
      </c>
    </row>
    <row r="22" spans="2:15" ht="17" thickBot="1" x14ac:dyDescent="0.25">
      <c r="B22" s="1" t="s">
        <v>44</v>
      </c>
    </row>
    <row r="23" spans="2:15" x14ac:dyDescent="0.2">
      <c r="B23" s="46" t="s">
        <v>45</v>
      </c>
      <c r="C23" s="47">
        <f>'Historical Financials'!C4</f>
        <v>44621</v>
      </c>
      <c r="D23" s="47">
        <f>'Historical Financials'!D4</f>
        <v>44256</v>
      </c>
      <c r="E23" s="47">
        <f>'Historical Financials'!E4</f>
        <v>43891</v>
      </c>
      <c r="F23" s="47">
        <f>'Historical Financials'!F4</f>
        <v>43525</v>
      </c>
      <c r="G23" s="47">
        <f>'Historical Financials'!G4</f>
        <v>43160</v>
      </c>
      <c r="H23" s="47">
        <f>'Historical Financials'!H4</f>
        <v>42795</v>
      </c>
      <c r="I23" s="47">
        <f>'Historical Financials'!I4</f>
        <v>42430</v>
      </c>
      <c r="J23" s="47">
        <f>'Historical Financials'!J4</f>
        <v>42064</v>
      </c>
      <c r="K23" s="47">
        <f>'Historical Financials'!K4</f>
        <v>41699</v>
      </c>
      <c r="L23" s="48">
        <f>'Historical Financials'!L4</f>
        <v>41334</v>
      </c>
    </row>
    <row r="24" spans="2:15" x14ac:dyDescent="0.2">
      <c r="B24" s="49" t="s">
        <v>46</v>
      </c>
      <c r="C24" s="74">
        <f>('Historical Financials'!C13/'Historical Financials'!D13)-1</f>
        <v>0.11450572249224678</v>
      </c>
      <c r="D24" s="74">
        <f>('Historical Financials'!D13/'Historical Financials'!E13)-1</f>
        <v>0.10701180273568056</v>
      </c>
      <c r="E24" s="74">
        <f>('Historical Financials'!E13/'Historical Financials'!F13)-1</f>
        <v>-3.8376298797862418E-2</v>
      </c>
      <c r="F24" s="74">
        <f>('Historical Financials'!F13/'Historical Financials'!G13)-1</f>
        <v>4.7461415240151128E-2</v>
      </c>
      <c r="G24" s="74">
        <f>('Historical Financials'!G13/'Historical Financials'!H13)-1</f>
        <v>6.5032253369024184E-2</v>
      </c>
      <c r="H24" s="74">
        <f>('Historical Financials'!H13/'Historical Financials'!I13)-1</f>
        <v>9.8196004127986125E-2</v>
      </c>
      <c r="I24" s="74">
        <f>('Historical Financials'!I13/'Historical Financials'!J13)-1</f>
        <v>1.6719906021484432E-2</v>
      </c>
      <c r="J24" s="74">
        <f>('Historical Financials'!J13/'Historical Financials'!K13)-1</f>
        <v>9.1681539232262521E-2</v>
      </c>
      <c r="K24" s="74">
        <f>('Historical Financials'!K13/'Historical Financials'!L13)-1</f>
        <v>0.18376209611410887</v>
      </c>
      <c r="L24" s="75"/>
      <c r="O24" s="52"/>
    </row>
    <row r="25" spans="2:15" x14ac:dyDescent="0.2">
      <c r="B25" s="49" t="s">
        <v>47</v>
      </c>
      <c r="C25" s="76">
        <f>('Historical Financials'!C11-SUM('Historical Financials'!C15:C18,'Historical Financials'!C20))/'Historical Financials'!C13</f>
        <v>0.39521728969506426</v>
      </c>
      <c r="D25" s="76">
        <f>('Historical Financials'!D11-SUM('Historical Financials'!D15:D18,'Historical Financials'!D20))/'Historical Financials'!D13</f>
        <v>0.43007780498553944</v>
      </c>
      <c r="E25" s="76">
        <f>('Historical Financials'!E11-SUM('Historical Financials'!E15:E18,'Historical Financials'!E20))/'Historical Financials'!E13</f>
        <v>0.44228033243208181</v>
      </c>
      <c r="F25" s="76">
        <f>('Historical Financials'!F11-SUM('Historical Financials'!F15:F18,'Historical Financials'!F20))/'Historical Financials'!F13</f>
        <v>0.43380760042597699</v>
      </c>
      <c r="G25" s="76">
        <f>('Historical Financials'!G11-SUM('Historical Financials'!G15:G18,'Historical Financials'!G20))/'Historical Financials'!G13</f>
        <v>0.43773477964630059</v>
      </c>
      <c r="H25" s="76">
        <f>('Historical Financials'!H11-SUM('Historical Financials'!H15:H18,'Historical Financials'!H20))/'Historical Financials'!H13</f>
        <v>0.42869206621707112</v>
      </c>
      <c r="I25" s="76">
        <f>('Historical Financials'!I11-SUM('Historical Financials'!I15:I18,'Historical Financials'!I20))/'Historical Financials'!I13</f>
        <v>0.41278453368563822</v>
      </c>
      <c r="J25" s="76">
        <f>('Historical Financials'!J11-SUM('Historical Financials'!J15:J18,'Historical Financials'!J20))/'Historical Financials'!J13</f>
        <v>0.42628649823670783</v>
      </c>
      <c r="K25" s="76">
        <f>('Historical Financials'!K11-SUM('Historical Financials'!K15:K18,'Historical Financials'!K20))/'Historical Financials'!K13</f>
        <v>0.41969466883753931</v>
      </c>
      <c r="L25" s="77">
        <f>('Historical Financials'!L11-SUM('Historical Financials'!L15:L18,'Historical Financials'!L20))/'Historical Financials'!L13</f>
        <v>0.43066335970051972</v>
      </c>
    </row>
    <row r="26" spans="2:15" ht="17" thickBot="1" x14ac:dyDescent="0.25">
      <c r="B26" s="50" t="s">
        <v>48</v>
      </c>
      <c r="C26" s="78">
        <f>'Historical Financials'!C27/'Historical Financials'!C25</f>
        <v>0.18436830040185986</v>
      </c>
      <c r="D26" s="78">
        <f>'Historical Financials'!D27/'Historical Financials'!D25</f>
        <v>0.19618625532958081</v>
      </c>
      <c r="E26" s="78">
        <f>'Historical Financials'!E27/'Historical Financials'!E25</f>
        <v>0.21519785859205839</v>
      </c>
      <c r="F26" s="78">
        <f>'Historical Financials'!F27/'Historical Financials'!F25</f>
        <v>0.20046049791336884</v>
      </c>
      <c r="G26" s="78">
        <f>'Historical Financials'!G27/'Historical Financials'!G25</f>
        <v>0.19260967710275789</v>
      </c>
      <c r="H26" s="78">
        <f>'Historical Financials'!H27/'Historical Financials'!H25</f>
        <v>0.21892178780888449</v>
      </c>
      <c r="I26" s="78">
        <f>'Historical Financials'!I27/'Historical Financials'!I25</f>
        <v>0.28041180554960271</v>
      </c>
      <c r="J26" s="78">
        <f>'Historical Financials'!J27/'Historical Financials'!J25</f>
        <v>0.22910660516368758</v>
      </c>
      <c r="K26" s="78">
        <f>'Historical Financials'!K27/'Historical Financials'!K25</f>
        <v>0.21046548894305941</v>
      </c>
      <c r="L26" s="79">
        <f>'Historical Financials'!L27/'Historical Financials'!L25</f>
        <v>0.18727125442851428</v>
      </c>
    </row>
    <row r="29" spans="2:15" ht="17" thickBot="1" x14ac:dyDescent="0.25">
      <c r="B29" s="1" t="s">
        <v>49</v>
      </c>
    </row>
    <row r="30" spans="2:15" x14ac:dyDescent="0.2">
      <c r="B30" s="46" t="s">
        <v>21</v>
      </c>
      <c r="C30" s="47">
        <v>44621</v>
      </c>
      <c r="D30" s="47">
        <v>44256</v>
      </c>
      <c r="E30" s="47">
        <v>43891</v>
      </c>
      <c r="F30" s="47">
        <v>43525</v>
      </c>
      <c r="G30" s="47">
        <v>43160</v>
      </c>
      <c r="H30" s="47">
        <v>42795</v>
      </c>
      <c r="I30" s="47">
        <v>42430</v>
      </c>
      <c r="J30" s="47">
        <v>42064</v>
      </c>
      <c r="K30" s="47">
        <v>41699</v>
      </c>
      <c r="L30" s="48">
        <v>41334</v>
      </c>
    </row>
    <row r="31" spans="2:15" x14ac:dyDescent="0.2">
      <c r="B31" s="49" t="s">
        <v>50</v>
      </c>
      <c r="C31" s="2"/>
      <c r="D31" s="2"/>
      <c r="E31" s="2"/>
      <c r="F31" s="2"/>
      <c r="G31" s="2"/>
      <c r="H31" s="2"/>
      <c r="I31" s="2"/>
      <c r="J31" s="2"/>
      <c r="K31" s="2"/>
      <c r="L31" s="102"/>
    </row>
    <row r="32" spans="2:15" ht="17" x14ac:dyDescent="0.2">
      <c r="B32" s="103" t="s">
        <v>51</v>
      </c>
      <c r="C32" s="99">
        <v>844.31</v>
      </c>
      <c r="D32" s="57">
        <v>657.17</v>
      </c>
      <c r="E32" s="57">
        <v>637.17999999999995</v>
      </c>
      <c r="F32" s="57">
        <v>481.31</v>
      </c>
      <c r="G32" s="57">
        <v>855.76</v>
      </c>
      <c r="H32" s="57">
        <v>681.79</v>
      </c>
      <c r="I32" s="57">
        <v>154.55000000000001</v>
      </c>
      <c r="J32" s="57">
        <v>151.38</v>
      </c>
      <c r="K32" s="57">
        <v>102</v>
      </c>
      <c r="L32" s="104">
        <v>0</v>
      </c>
    </row>
    <row r="33" spans="2:12" ht="17" x14ac:dyDescent="0.2">
      <c r="B33" s="103" t="s">
        <v>52</v>
      </c>
      <c r="C33" s="100">
        <v>2129.85</v>
      </c>
      <c r="D33" s="60">
        <v>1716.25</v>
      </c>
      <c r="E33" s="60">
        <v>1703.12</v>
      </c>
      <c r="F33" s="60">
        <v>1558.59</v>
      </c>
      <c r="G33" s="60">
        <v>1577.72</v>
      </c>
      <c r="H33" s="60">
        <v>1412.5</v>
      </c>
      <c r="I33" s="60">
        <v>1306.98</v>
      </c>
      <c r="J33" s="60">
        <v>1071.71</v>
      </c>
      <c r="K33" s="60">
        <v>1082.1300000000001</v>
      </c>
      <c r="L33" s="105">
        <v>1047.0899999999999</v>
      </c>
    </row>
    <row r="34" spans="2:12" ht="17" x14ac:dyDescent="0.2">
      <c r="B34" s="103" t="s">
        <v>53</v>
      </c>
      <c r="C34" s="100">
        <v>1116.32</v>
      </c>
      <c r="D34" s="60">
        <v>1004.5</v>
      </c>
      <c r="E34" s="60">
        <v>1157.25</v>
      </c>
      <c r="F34" s="60">
        <v>1292.9000000000001</v>
      </c>
      <c r="G34" s="60">
        <v>1245.5</v>
      </c>
      <c r="H34" s="60">
        <v>1028.74</v>
      </c>
      <c r="I34" s="60">
        <v>1118.01</v>
      </c>
      <c r="J34" s="57">
        <v>804.58</v>
      </c>
      <c r="K34" s="57">
        <v>711.28</v>
      </c>
      <c r="L34" s="104">
        <v>728.76</v>
      </c>
    </row>
    <row r="35" spans="2:12" ht="17" x14ac:dyDescent="0.2">
      <c r="B35" s="103" t="s">
        <v>54</v>
      </c>
      <c r="C35" s="100">
        <v>1107.77</v>
      </c>
      <c r="D35" s="57">
        <v>672.21</v>
      </c>
      <c r="E35" s="57">
        <v>770.16</v>
      </c>
      <c r="F35" s="57">
        <v>894.72</v>
      </c>
      <c r="G35" s="57">
        <v>960.21</v>
      </c>
      <c r="H35" s="57">
        <v>912.66</v>
      </c>
      <c r="I35" s="57">
        <v>753.79</v>
      </c>
      <c r="J35" s="57">
        <v>894.22</v>
      </c>
      <c r="K35" s="57">
        <v>704.79</v>
      </c>
      <c r="L35" s="104">
        <v>868.78</v>
      </c>
    </row>
    <row r="36" spans="2:12" ht="17" x14ac:dyDescent="0.2">
      <c r="B36" s="103" t="s">
        <v>55</v>
      </c>
      <c r="C36" s="99">
        <v>488.97</v>
      </c>
      <c r="D36" s="57">
        <v>417.64</v>
      </c>
      <c r="E36" s="57">
        <v>537.36</v>
      </c>
      <c r="F36" s="57">
        <v>457.16</v>
      </c>
      <c r="G36" s="57">
        <v>525.6</v>
      </c>
      <c r="H36" s="57">
        <v>338.75</v>
      </c>
      <c r="I36" s="57">
        <v>154.9</v>
      </c>
      <c r="J36" s="57">
        <v>7.58</v>
      </c>
      <c r="K36" s="57">
        <v>1.08</v>
      </c>
      <c r="L36" s="104">
        <v>2.91</v>
      </c>
    </row>
    <row r="37" spans="2:12" ht="17" x14ac:dyDescent="0.2">
      <c r="B37" s="106" t="s">
        <v>56</v>
      </c>
      <c r="C37" s="13">
        <f t="shared" ref="C37:L37" si="6">SUM(C32:C36)</f>
        <v>5687.22</v>
      </c>
      <c r="D37" s="13">
        <f t="shared" si="6"/>
        <v>4467.7700000000004</v>
      </c>
      <c r="E37" s="13">
        <f t="shared" si="6"/>
        <v>4805.07</v>
      </c>
      <c r="F37" s="13">
        <f t="shared" si="6"/>
        <v>4684.68</v>
      </c>
      <c r="G37" s="13">
        <f t="shared" si="6"/>
        <v>5164.7900000000009</v>
      </c>
      <c r="H37" s="13">
        <f t="shared" si="6"/>
        <v>4374.4399999999996</v>
      </c>
      <c r="I37" s="13">
        <f t="shared" si="6"/>
        <v>3488.23</v>
      </c>
      <c r="J37" s="13">
        <f t="shared" si="6"/>
        <v>2929.4700000000003</v>
      </c>
      <c r="K37" s="13">
        <f t="shared" si="6"/>
        <v>2601.2799999999997</v>
      </c>
      <c r="L37" s="107">
        <f t="shared" si="6"/>
        <v>2647.54</v>
      </c>
    </row>
    <row r="38" spans="2:12" ht="17" x14ac:dyDescent="0.2">
      <c r="B38" s="106" t="s">
        <v>57</v>
      </c>
      <c r="L38" s="80"/>
    </row>
    <row r="39" spans="2:12" ht="17" x14ac:dyDescent="0.2">
      <c r="B39" s="103" t="s">
        <v>58</v>
      </c>
      <c r="C39" s="100">
        <v>1226.81</v>
      </c>
      <c r="D39" s="57">
        <v>279.41000000000003</v>
      </c>
      <c r="E39" s="57">
        <v>518.70000000000005</v>
      </c>
      <c r="F39" s="57">
        <v>270.94</v>
      </c>
      <c r="G39" s="57">
        <v>140.51</v>
      </c>
      <c r="H39" s="57">
        <v>232.55</v>
      </c>
      <c r="I39" s="57">
        <v>181.89</v>
      </c>
      <c r="J39" s="57">
        <v>146.66</v>
      </c>
      <c r="K39" s="57">
        <v>111.48</v>
      </c>
      <c r="L39" s="104">
        <v>82.44</v>
      </c>
    </row>
    <row r="40" spans="2:12" ht="17" x14ac:dyDescent="0.2">
      <c r="B40" s="103" t="s">
        <v>59</v>
      </c>
      <c r="C40" s="100">
        <v>2163.06</v>
      </c>
      <c r="D40" s="60">
        <v>2159.64</v>
      </c>
      <c r="E40" s="60">
        <v>2480.4899999999998</v>
      </c>
      <c r="F40" s="60">
        <v>2539.88</v>
      </c>
      <c r="G40" s="60">
        <v>2356.85</v>
      </c>
      <c r="H40" s="60">
        <v>1723.9</v>
      </c>
      <c r="I40" s="60">
        <v>1485.08</v>
      </c>
      <c r="J40" s="60">
        <v>1086.94</v>
      </c>
      <c r="K40" s="60">
        <v>1234.42</v>
      </c>
      <c r="L40" s="105">
        <v>1034.81</v>
      </c>
    </row>
    <row r="41" spans="2:12" ht="17" x14ac:dyDescent="0.2">
      <c r="B41" s="103" t="s">
        <v>60</v>
      </c>
      <c r="C41" s="99">
        <v>505.53</v>
      </c>
      <c r="D41" s="60">
        <v>1624.24</v>
      </c>
      <c r="E41" s="60">
        <v>1491.41</v>
      </c>
      <c r="F41" s="60">
        <v>1030.1099999999999</v>
      </c>
      <c r="G41" s="60">
        <v>1619.62</v>
      </c>
      <c r="H41" s="60">
        <v>1332.77</v>
      </c>
      <c r="I41" s="57">
        <v>977.24</v>
      </c>
      <c r="J41" s="60">
        <v>1281.31</v>
      </c>
      <c r="K41" s="60">
        <v>1298.1500000000001</v>
      </c>
      <c r="L41" s="105">
        <v>1103.32</v>
      </c>
    </row>
    <row r="42" spans="2:12" ht="17" x14ac:dyDescent="0.2">
      <c r="B42" s="103" t="s">
        <v>61</v>
      </c>
      <c r="C42" s="99">
        <v>76.209999999999994</v>
      </c>
      <c r="D42" s="57">
        <v>72.400000000000006</v>
      </c>
      <c r="E42" s="57">
        <v>55.96</v>
      </c>
      <c r="F42" s="57">
        <v>50.85</v>
      </c>
      <c r="G42" s="57">
        <v>47.82</v>
      </c>
      <c r="H42" s="57">
        <v>58.14</v>
      </c>
      <c r="I42" s="57">
        <v>70.39</v>
      </c>
      <c r="J42" s="57">
        <v>97.68</v>
      </c>
      <c r="K42" s="57">
        <v>55.89</v>
      </c>
      <c r="L42" s="104">
        <v>58.52</v>
      </c>
    </row>
    <row r="43" spans="2:12" ht="17" x14ac:dyDescent="0.2">
      <c r="B43" s="106" t="s">
        <v>62</v>
      </c>
      <c r="C43" s="101">
        <f>SUM(C39:C42)</f>
        <v>3971.6099999999997</v>
      </c>
      <c r="D43" s="61">
        <f t="shared" ref="D43:L43" si="7">SUM(D39:D42)</f>
        <v>4135.6899999999996</v>
      </c>
      <c r="E43" s="61">
        <f t="shared" si="7"/>
        <v>4546.5599999999995</v>
      </c>
      <c r="F43" s="61">
        <f t="shared" si="7"/>
        <v>3891.78</v>
      </c>
      <c r="G43" s="61">
        <f t="shared" si="7"/>
        <v>4164.7999999999993</v>
      </c>
      <c r="H43" s="61">
        <f t="shared" si="7"/>
        <v>3347.36</v>
      </c>
      <c r="I43" s="61">
        <f t="shared" si="7"/>
        <v>2714.6</v>
      </c>
      <c r="J43" s="61">
        <f t="shared" si="7"/>
        <v>2612.5899999999997</v>
      </c>
      <c r="K43" s="61">
        <f t="shared" si="7"/>
        <v>2699.94</v>
      </c>
      <c r="L43" s="108">
        <f t="shared" si="7"/>
        <v>2279.0899999999997</v>
      </c>
    </row>
    <row r="44" spans="2:12" ht="17" x14ac:dyDescent="0.2">
      <c r="B44" s="103" t="s">
        <v>63</v>
      </c>
      <c r="C44" s="4">
        <f>C37-C43</f>
        <v>1715.6100000000006</v>
      </c>
      <c r="D44" s="4">
        <f t="shared" ref="D44:L44" si="8">D37-D43</f>
        <v>332.08000000000084</v>
      </c>
      <c r="E44" s="4">
        <f t="shared" si="8"/>
        <v>258.51000000000022</v>
      </c>
      <c r="F44" s="4">
        <f t="shared" si="8"/>
        <v>792.90000000000009</v>
      </c>
      <c r="G44" s="4">
        <f t="shared" si="8"/>
        <v>999.9900000000016</v>
      </c>
      <c r="H44" s="4">
        <f t="shared" si="8"/>
        <v>1027.0799999999995</v>
      </c>
      <c r="I44" s="4">
        <f t="shared" si="8"/>
        <v>773.63000000000011</v>
      </c>
      <c r="J44" s="4">
        <f t="shared" si="8"/>
        <v>316.88000000000056</v>
      </c>
      <c r="K44" s="4">
        <f t="shared" si="8"/>
        <v>-98.660000000000309</v>
      </c>
      <c r="L44" s="109">
        <f t="shared" si="8"/>
        <v>368.45000000000027</v>
      </c>
    </row>
    <row r="45" spans="2:12" ht="17" x14ac:dyDescent="0.2">
      <c r="B45" s="103" t="s">
        <v>64</v>
      </c>
      <c r="C45" s="4">
        <f>C44-D44</f>
        <v>1383.5299999999997</v>
      </c>
      <c r="D45" s="4">
        <f t="shared" ref="D45:K45" si="9">D44-E44</f>
        <v>73.570000000000618</v>
      </c>
      <c r="E45" s="4">
        <f t="shared" si="9"/>
        <v>-534.38999999999987</v>
      </c>
      <c r="F45" s="4">
        <f t="shared" si="9"/>
        <v>-207.09000000000151</v>
      </c>
      <c r="G45" s="4">
        <f t="shared" si="9"/>
        <v>-27.089999999997872</v>
      </c>
      <c r="H45" s="4">
        <f t="shared" si="9"/>
        <v>253.44999999999936</v>
      </c>
      <c r="I45" s="4">
        <f t="shared" si="9"/>
        <v>456.74999999999955</v>
      </c>
      <c r="J45" s="4">
        <f t="shared" si="9"/>
        <v>415.54000000000087</v>
      </c>
      <c r="K45" s="4">
        <f t="shared" si="9"/>
        <v>-467.11000000000058</v>
      </c>
      <c r="L45" s="80"/>
    </row>
    <row r="46" spans="2:12" ht="18" thickBot="1" x14ac:dyDescent="0.25">
      <c r="B46" s="111" t="s">
        <v>65</v>
      </c>
      <c r="C46" s="112">
        <f>C45/'Historical Financials'!C13</f>
        <v>0.11187987265297936</v>
      </c>
      <c r="D46" s="112">
        <f>D45/'Historical Financials'!D13</f>
        <v>6.6305024743842532E-3</v>
      </c>
      <c r="E46" s="112">
        <f>E45/'Historical Financials'!E13</f>
        <v>-5.3315840408655987E-2</v>
      </c>
      <c r="F46" s="112">
        <f>F45/'Historical Financials'!F13</f>
        <v>-1.9868369295123475E-2</v>
      </c>
      <c r="G46" s="112">
        <f>G45/'Historical Financials'!G13</f>
        <v>-2.7223887076640793E-3</v>
      </c>
      <c r="H46" s="112">
        <f>H45/'Historical Financials'!H13</f>
        <v>2.712665133289302E-2</v>
      </c>
      <c r="I46" s="112">
        <f>I45/'Historical Financials'!I13</f>
        <v>5.3686155495323046E-2</v>
      </c>
      <c r="J46" s="112">
        <f>J45/'Historical Financials'!J13</f>
        <v>4.9658993268298965E-2</v>
      </c>
      <c r="K46" s="112">
        <f>K45/'Historical Financials'!K13</f>
        <v>-6.0939685223453853E-2</v>
      </c>
      <c r="L46" s="113"/>
    </row>
    <row r="47" spans="2:12" x14ac:dyDescent="0.2">
      <c r="B47" s="73"/>
    </row>
    <row r="48" spans="2:12" x14ac:dyDescent="0.2">
      <c r="B48" s="73"/>
    </row>
    <row r="49" spans="2:2" x14ac:dyDescent="0.2">
      <c r="B49" s="7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1C4-A0AA-024D-ABD4-6D09526BF107}">
  <sheetPr codeName="Sheet4"/>
  <dimension ref="B2:S33"/>
  <sheetViews>
    <sheetView zoomScale="75" workbookViewId="0">
      <selection activeCell="R7" sqref="R7"/>
    </sheetView>
  </sheetViews>
  <sheetFormatPr baseColWidth="10" defaultColWidth="11.1640625" defaultRowHeight="16" x14ac:dyDescent="0.2"/>
  <cols>
    <col min="2" max="2" width="28.1640625" customWidth="1"/>
    <col min="3" max="3" width="11.33203125" bestFit="1" customWidth="1"/>
    <col min="14" max="14" width="14.6640625" bestFit="1" customWidth="1"/>
    <col min="17" max="17" width="38.1640625" bestFit="1" customWidth="1"/>
    <col min="18" max="18" width="12.6640625" bestFit="1" customWidth="1"/>
    <col min="19" max="19" width="19" bestFit="1" customWidth="1"/>
  </cols>
  <sheetData>
    <row r="2" spans="2:18" x14ac:dyDescent="0.2">
      <c r="Q2" t="s">
        <v>66</v>
      </c>
    </row>
    <row r="3" spans="2:18" x14ac:dyDescent="0.2">
      <c r="B3" s="16"/>
      <c r="C3" s="16"/>
      <c r="D3" s="16">
        <v>1</v>
      </c>
      <c r="E3" s="16">
        <v>2</v>
      </c>
      <c r="F3" s="16">
        <v>3</v>
      </c>
      <c r="G3" s="16">
        <v>4</v>
      </c>
      <c r="H3" s="16">
        <v>5</v>
      </c>
      <c r="I3" s="16">
        <f>H3+1</f>
        <v>6</v>
      </c>
      <c r="J3" s="16">
        <f t="shared" ref="J3:M3" si="0">I3+1</f>
        <v>7</v>
      </c>
      <c r="K3" s="16">
        <f t="shared" si="0"/>
        <v>8</v>
      </c>
      <c r="L3" s="16">
        <f t="shared" si="0"/>
        <v>9</v>
      </c>
      <c r="M3" s="16">
        <f t="shared" si="0"/>
        <v>10</v>
      </c>
      <c r="N3" s="16">
        <v>11</v>
      </c>
    </row>
    <row r="4" spans="2:18" x14ac:dyDescent="0.2">
      <c r="B4" s="16"/>
      <c r="C4" s="16" t="s">
        <v>31</v>
      </c>
      <c r="D4" s="16" t="s">
        <v>32</v>
      </c>
      <c r="E4" s="16" t="s">
        <v>33</v>
      </c>
      <c r="F4" s="16" t="s">
        <v>34</v>
      </c>
      <c r="G4" s="16" t="s">
        <v>35</v>
      </c>
      <c r="H4" s="16" t="s">
        <v>36</v>
      </c>
      <c r="I4" s="16" t="s">
        <v>37</v>
      </c>
      <c r="J4" s="16" t="s">
        <v>38</v>
      </c>
      <c r="K4" s="16" t="s">
        <v>39</v>
      </c>
      <c r="L4" s="16" t="s">
        <v>40</v>
      </c>
      <c r="M4" s="16" t="s">
        <v>41</v>
      </c>
      <c r="N4" s="16" t="s">
        <v>67</v>
      </c>
      <c r="Q4" s="95" t="s">
        <v>21</v>
      </c>
      <c r="R4" s="96" t="s">
        <v>68</v>
      </c>
    </row>
    <row r="5" spans="2:18" x14ac:dyDescent="0.2">
      <c r="B5" t="s">
        <v>69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Q5" s="89" t="s">
        <v>70</v>
      </c>
      <c r="R5" s="90">
        <f>AVERAGE(Schedules!C12:L12)</f>
        <v>0.16464888091336091</v>
      </c>
    </row>
    <row r="6" spans="2:18" x14ac:dyDescent="0.2">
      <c r="B6" t="s">
        <v>71</v>
      </c>
      <c r="C6" s="9">
        <f>('Historical Financials'!C9/'Historical Financials'!D9)-1</f>
        <v>0.11322319566276917</v>
      </c>
      <c r="D6" s="10">
        <f>$R$7</f>
        <v>0.10222160450389801</v>
      </c>
      <c r="E6" s="10">
        <f>D6*(1-0.05)</f>
        <v>9.7110524278703106E-2</v>
      </c>
      <c r="F6" s="10">
        <f t="shared" ref="F6:M6" si="1">E6*(1-0.05)</f>
        <v>9.2254998064767946E-2</v>
      </c>
      <c r="G6" s="10">
        <f t="shared" si="1"/>
        <v>8.7642248161529546E-2</v>
      </c>
      <c r="H6" s="10">
        <f t="shared" si="1"/>
        <v>8.3260135753453063E-2</v>
      </c>
      <c r="I6" s="10">
        <f t="shared" si="1"/>
        <v>7.9097128965780403E-2</v>
      </c>
      <c r="J6" s="10">
        <f t="shared" si="1"/>
        <v>7.5142272517491379E-2</v>
      </c>
      <c r="K6" s="10">
        <f t="shared" si="1"/>
        <v>7.1385158891616812E-2</v>
      </c>
      <c r="L6" s="10">
        <f t="shared" si="1"/>
        <v>6.7815900947035962E-2</v>
      </c>
      <c r="M6" s="10">
        <f t="shared" si="1"/>
        <v>6.4425105899684157E-2</v>
      </c>
      <c r="N6" s="10"/>
      <c r="Q6" s="92" t="s">
        <v>72</v>
      </c>
      <c r="R6" s="93">
        <f>AVERAGE(Schedules!C11:L11)</f>
        <v>0.17120333441529439</v>
      </c>
    </row>
    <row r="7" spans="2:18" x14ac:dyDescent="0.2">
      <c r="B7" t="s">
        <v>73</v>
      </c>
      <c r="C7" s="4">
        <f>'Historical Financials'!C13</f>
        <v>12366.21</v>
      </c>
      <c r="D7" s="17">
        <f>C7*(1+D6)</f>
        <v>13630.303827832147</v>
      </c>
      <c r="E7" s="17">
        <f t="shared" ref="E7:L7" si="2">D7*(1+E6)</f>
        <v>14953.949778630942</v>
      </c>
      <c r="F7" s="17">
        <f t="shared" si="2"/>
        <v>16333.526386519177</v>
      </c>
      <c r="G7" s="17">
        <f t="shared" si="2"/>
        <v>17765.033359439381</v>
      </c>
      <c r="H7" s="17">
        <f t="shared" si="2"/>
        <v>19244.152448610927</v>
      </c>
      <c r="I7" s="17">
        <f t="shared" si="2"/>
        <v>20766.309656675847</v>
      </c>
      <c r="J7" s="17">
        <f t="shared" si="2"/>
        <v>22326.737356080394</v>
      </c>
      <c r="K7" s="17">
        <f t="shared" si="2"/>
        <v>23920.53504977559</v>
      </c>
      <c r="L7" s="17">
        <f t="shared" si="2"/>
        <v>25542.727685311274</v>
      </c>
      <c r="M7" s="17">
        <f>L7*(1+M6)</f>
        <v>27188.320621404248</v>
      </c>
      <c r="N7" s="17"/>
      <c r="Q7" s="92" t="s">
        <v>74</v>
      </c>
      <c r="R7" s="97">
        <f>AVERAGE(Schedules!C24:L24)+0.026</f>
        <v>0.10222160450389801</v>
      </c>
    </row>
    <row r="8" spans="2:18" x14ac:dyDescent="0.2">
      <c r="B8" t="s">
        <v>47</v>
      </c>
      <c r="C8" s="9">
        <f>Schedules!C25</f>
        <v>0.39521728969506426</v>
      </c>
      <c r="D8" s="9">
        <f t="shared" ref="D8:M8" si="3">$R$8</f>
        <v>0.42572389338624389</v>
      </c>
      <c r="E8" s="9">
        <f t="shared" si="3"/>
        <v>0.42572389338624389</v>
      </c>
      <c r="F8" s="9">
        <f t="shared" si="3"/>
        <v>0.42572389338624389</v>
      </c>
      <c r="G8" s="9">
        <f t="shared" si="3"/>
        <v>0.42572389338624389</v>
      </c>
      <c r="H8" s="9">
        <f t="shared" si="3"/>
        <v>0.42572389338624389</v>
      </c>
      <c r="I8" s="9">
        <f t="shared" si="3"/>
        <v>0.42572389338624389</v>
      </c>
      <c r="J8" s="9">
        <f t="shared" si="3"/>
        <v>0.42572389338624389</v>
      </c>
      <c r="K8" s="9">
        <f t="shared" si="3"/>
        <v>0.42572389338624389</v>
      </c>
      <c r="L8" s="9">
        <f t="shared" si="3"/>
        <v>0.42572389338624389</v>
      </c>
      <c r="M8" s="9">
        <f t="shared" si="3"/>
        <v>0.42572389338624389</v>
      </c>
      <c r="N8" s="9"/>
      <c r="Q8" s="92" t="s">
        <v>75</v>
      </c>
      <c r="R8" s="93">
        <f>AVERAGE(Schedules!C25:L25)</f>
        <v>0.42572389338624389</v>
      </c>
    </row>
    <row r="9" spans="2:18" x14ac:dyDescent="0.2">
      <c r="B9" t="s">
        <v>76</v>
      </c>
      <c r="C9" s="17">
        <f>C7*C8</f>
        <v>4887.34</v>
      </c>
      <c r="D9" s="17">
        <f t="shared" ref="D9:M9" si="4">D7*D8</f>
        <v>5802.7460136221252</v>
      </c>
      <c r="E9" s="17">
        <f t="shared" si="4"/>
        <v>6366.2537212611251</v>
      </c>
      <c r="F9" s="17">
        <f t="shared" si="4"/>
        <v>6953.5724459958919</v>
      </c>
      <c r="G9" s="17">
        <f t="shared" si="4"/>
        <v>7562.9991679170371</v>
      </c>
      <c r="H9" s="17">
        <f t="shared" si="4"/>
        <v>8192.695505341062</v>
      </c>
      <c r="I9" s="17">
        <f t="shared" si="4"/>
        <v>8840.7141983043948</v>
      </c>
      <c r="J9" s="17">
        <f t="shared" si="4"/>
        <v>9505.0255538426391</v>
      </c>
      <c r="K9" s="17">
        <f t="shared" si="4"/>
        <v>10183.543313272574</v>
      </c>
      <c r="L9" s="17">
        <f t="shared" si="4"/>
        <v>10874.149477895317</v>
      </c>
      <c r="M9" s="17">
        <f t="shared" si="4"/>
        <v>11574.717709577719</v>
      </c>
      <c r="N9" s="17"/>
      <c r="Q9" s="89" t="s">
        <v>77</v>
      </c>
      <c r="R9" s="110">
        <f>AVERAGE(Schedules!C46:D46)</f>
        <v>5.9255187563681803E-2</v>
      </c>
    </row>
    <row r="10" spans="2:18" x14ac:dyDescent="0.2">
      <c r="B10" t="s">
        <v>78</v>
      </c>
      <c r="C10" s="11">
        <f>Schedules!C26</f>
        <v>0.18436830040185986</v>
      </c>
      <c r="D10" s="11">
        <f t="shared" ref="D10:M10" si="5">$R$10</f>
        <v>0.21149995312333747</v>
      </c>
      <c r="E10" s="11">
        <f t="shared" si="5"/>
        <v>0.21149995312333747</v>
      </c>
      <c r="F10" s="11">
        <f t="shared" si="5"/>
        <v>0.21149995312333747</v>
      </c>
      <c r="G10" s="11">
        <f t="shared" si="5"/>
        <v>0.21149995312333747</v>
      </c>
      <c r="H10" s="11">
        <f t="shared" si="5"/>
        <v>0.21149995312333747</v>
      </c>
      <c r="I10" s="11">
        <f t="shared" si="5"/>
        <v>0.21149995312333747</v>
      </c>
      <c r="J10" s="11">
        <f t="shared" si="5"/>
        <v>0.21149995312333747</v>
      </c>
      <c r="K10" s="11">
        <f t="shared" si="5"/>
        <v>0.21149995312333747</v>
      </c>
      <c r="L10" s="11">
        <f t="shared" si="5"/>
        <v>0.21149995312333747</v>
      </c>
      <c r="M10" s="11">
        <f t="shared" si="5"/>
        <v>0.21149995312333747</v>
      </c>
      <c r="N10" s="9"/>
      <c r="Q10" s="94" t="s">
        <v>79</v>
      </c>
      <c r="R10" s="91">
        <f>AVERAGE(Schedules!C26:L26)</f>
        <v>0.21149995312333747</v>
      </c>
    </row>
    <row r="11" spans="2:18" x14ac:dyDescent="0.2">
      <c r="B11" t="s">
        <v>80</v>
      </c>
      <c r="C11" s="18">
        <f>C9*(1-C10)</f>
        <v>3986.2694307139741</v>
      </c>
      <c r="D11" s="18">
        <f>D9*(1-D10)</f>
        <v>4575.4655037544126</v>
      </c>
      <c r="E11" s="18">
        <f>E9*(1-E10)</f>
        <v>5019.7913576431247</v>
      </c>
      <c r="F11" s="18">
        <f t="shared" ref="F11:M11" si="6">F9*(1-F10)</f>
        <v>5482.8921996280296</v>
      </c>
      <c r="G11" s="18">
        <f t="shared" si="6"/>
        <v>5963.4251984307439</v>
      </c>
      <c r="H11" s="18">
        <f t="shared" si="6"/>
        <v>6459.9407900076494</v>
      </c>
      <c r="I11" s="18">
        <f t="shared" si="6"/>
        <v>6970.9035597861912</v>
      </c>
      <c r="J11" s="18">
        <f t="shared" si="6"/>
        <v>7494.7130947687965</v>
      </c>
      <c r="K11" s="18">
        <f t="shared" si="6"/>
        <v>8029.7243798859481</v>
      </c>
      <c r="L11" s="18">
        <f t="shared" si="6"/>
        <v>8574.2673730642928</v>
      </c>
      <c r="M11" s="18">
        <f t="shared" si="6"/>
        <v>9126.6654565861663</v>
      </c>
      <c r="N11" s="18"/>
    </row>
    <row r="12" spans="2:18" x14ac:dyDescent="0.2">
      <c r="B12" t="s">
        <v>81</v>
      </c>
      <c r="C12" s="18">
        <f>Schedules!C6</f>
        <v>1210.22</v>
      </c>
      <c r="D12" s="18">
        <f>Schedules!C17</f>
        <v>1274.9100000000001</v>
      </c>
      <c r="E12" s="18">
        <f>Schedules!D17</f>
        <v>1462.9017019694816</v>
      </c>
      <c r="F12" s="18">
        <f>Schedules!E17</f>
        <v>1673.2208980288985</v>
      </c>
      <c r="G12" s="18">
        <f>Schedules!F17</f>
        <v>1907.7634594250235</v>
      </c>
      <c r="H12" s="18">
        <f>Schedules!G17</f>
        <v>2168.4973742462062</v>
      </c>
      <c r="I12" s="18">
        <f>Schedules!H17</f>
        <v>2457.4565671176051</v>
      </c>
      <c r="J12" s="18">
        <f>Schedules!I17</f>
        <v>2776.7338960734314</v>
      </c>
      <c r="K12" s="18">
        <f>Schedules!J17</f>
        <v>3128.4733687406106</v>
      </c>
      <c r="L12" s="18">
        <f>Schedules!K17</f>
        <v>3514.861630563958</v>
      </c>
      <c r="M12" s="18">
        <f>Schedules!L17</f>
        <v>3938.1187876535355</v>
      </c>
      <c r="N12" s="18"/>
    </row>
    <row r="13" spans="2:18" x14ac:dyDescent="0.2">
      <c r="B13" t="s">
        <v>82</v>
      </c>
      <c r="C13" s="18">
        <f t="shared" ref="C13:M13" si="7">C12*$R$6</f>
        <v>207.19369937607757</v>
      </c>
      <c r="D13" s="18">
        <f t="shared" si="7"/>
        <v>218.26884307940298</v>
      </c>
      <c r="E13" s="18">
        <f t="shared" si="7"/>
        <v>250.45364929898449</v>
      </c>
      <c r="F13" s="18">
        <f t="shared" si="7"/>
        <v>286.46099695590073</v>
      </c>
      <c r="G13" s="18">
        <f t="shared" si="7"/>
        <v>326.61546552922124</v>
      </c>
      <c r="H13" s="18">
        <f t="shared" si="7"/>
        <v>371.25398114176102</v>
      </c>
      <c r="I13" s="18">
        <f t="shared" si="7"/>
        <v>420.7247584712967</v>
      </c>
      <c r="J13" s="18">
        <f t="shared" si="7"/>
        <v>475.38610179174299</v>
      </c>
      <c r="K13" s="18">
        <f t="shared" si="7"/>
        <v>535.60507235784132</v>
      </c>
      <c r="L13" s="18">
        <f t="shared" si="7"/>
        <v>601.75603116092827</v>
      </c>
      <c r="M13" s="18">
        <f t="shared" si="7"/>
        <v>674.219067769802</v>
      </c>
      <c r="N13" s="18"/>
    </row>
    <row r="14" spans="2:18" x14ac:dyDescent="0.2">
      <c r="B14" t="s">
        <v>83</v>
      </c>
      <c r="C14">
        <f>Schedules!C9-Schedules!C6+Schedules!C7</f>
        <v>95.670000000000059</v>
      </c>
      <c r="D14" s="18">
        <f t="shared" ref="D14:M14" si="8">C12*$R$5</f>
        <v>199.26136865896765</v>
      </c>
      <c r="E14" s="18">
        <f t="shared" si="8"/>
        <v>209.91250476525298</v>
      </c>
      <c r="F14" s="18">
        <f t="shared" si="8"/>
        <v>240.86512811552618</v>
      </c>
      <c r="G14" s="18">
        <f t="shared" si="8"/>
        <v>275.49394838130689</v>
      </c>
      <c r="H14" s="18">
        <f t="shared" si="8"/>
        <v>314.11111864173216</v>
      </c>
      <c r="I14" s="18">
        <f t="shared" si="8"/>
        <v>357.04066593319942</v>
      </c>
      <c r="J14" s="18">
        <f t="shared" si="8"/>
        <v>404.61747366910328</v>
      </c>
      <c r="K14" s="18">
        <f t="shared" si="8"/>
        <v>457.1861285826871</v>
      </c>
      <c r="L14" s="18">
        <f t="shared" si="8"/>
        <v>515.09963913039383</v>
      </c>
      <c r="M14" s="18">
        <f t="shared" si="8"/>
        <v>578.71803403766671</v>
      </c>
      <c r="N14" s="18"/>
    </row>
    <row r="15" spans="2:18" x14ac:dyDescent="0.2">
      <c r="B15" s="19" t="s">
        <v>84</v>
      </c>
      <c r="C15" s="4">
        <f>Schedules!C45</f>
        <v>1383.5299999999997</v>
      </c>
      <c r="D15" s="17">
        <f t="shared" ref="D15:M15" si="9">D7*$R$9</f>
        <v>807.66620986816395</v>
      </c>
      <c r="E15" s="17">
        <f t="shared" si="9"/>
        <v>886.09909895065448</v>
      </c>
      <c r="F15" s="17">
        <f t="shared" si="9"/>
        <v>967.84616960953974</v>
      </c>
      <c r="G15" s="17">
        <f t="shared" si="9"/>
        <v>1052.6703837886448</v>
      </c>
      <c r="H15" s="17">
        <f t="shared" si="9"/>
        <v>1140.3158628465269</v>
      </c>
      <c r="I15" s="17">
        <f t="shared" si="9"/>
        <v>1230.511573711824</v>
      </c>
      <c r="J15" s="17">
        <f t="shared" si="9"/>
        <v>1322.9750097196049</v>
      </c>
      <c r="K15" s="17">
        <f t="shared" si="9"/>
        <v>1417.4157909980772</v>
      </c>
      <c r="L15" s="17">
        <f t="shared" si="9"/>
        <v>1513.5391198811676</v>
      </c>
      <c r="M15" s="17">
        <f t="shared" si="9"/>
        <v>1611.0490379628266</v>
      </c>
      <c r="N15" s="17"/>
    </row>
    <row r="16" spans="2:18" x14ac:dyDescent="0.2">
      <c r="B16" s="20" t="s">
        <v>85</v>
      </c>
      <c r="C16" s="18">
        <f>C11+C13-C14-C15</f>
        <v>2714.2631300900521</v>
      </c>
      <c r="D16" s="18">
        <f t="shared" ref="D16:M16" si="10">D11+D13-D14-D15</f>
        <v>3786.8067683066843</v>
      </c>
      <c r="E16" s="18">
        <f t="shared" si="10"/>
        <v>4174.2334032262015</v>
      </c>
      <c r="F16" s="18">
        <f t="shared" si="10"/>
        <v>4560.6418988588639</v>
      </c>
      <c r="G16" s="18">
        <f t="shared" si="10"/>
        <v>4961.8763317900139</v>
      </c>
      <c r="H16" s="18">
        <f t="shared" si="10"/>
        <v>5376.7677896611513</v>
      </c>
      <c r="I16" s="18">
        <f t="shared" si="10"/>
        <v>5804.0760786124647</v>
      </c>
      <c r="J16" s="18">
        <f t="shared" si="10"/>
        <v>6242.5067131718315</v>
      </c>
      <c r="K16" s="18">
        <f t="shared" si="10"/>
        <v>6690.7275326630261</v>
      </c>
      <c r="L16" s="18">
        <f t="shared" si="10"/>
        <v>7147.3846452136595</v>
      </c>
      <c r="M16" s="18">
        <f t="shared" si="10"/>
        <v>7611.1174523554746</v>
      </c>
      <c r="N16" s="21">
        <f>(M16*(1+M6))/(DCF!R26-DCF!R10)</f>
        <v>219627.52861210934</v>
      </c>
    </row>
    <row r="17" spans="2:19" x14ac:dyDescent="0.2">
      <c r="B17" s="20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2:19" x14ac:dyDescent="0.2">
      <c r="G18" s="10"/>
      <c r="H18" s="21"/>
      <c r="I18" s="21"/>
      <c r="J18" s="21"/>
      <c r="K18" s="21"/>
      <c r="L18" s="21"/>
      <c r="M18" s="22"/>
      <c r="N18" s="21"/>
    </row>
    <row r="20" spans="2:19" x14ac:dyDescent="0.2">
      <c r="C20" s="21">
        <f>SUM(D17:N17)</f>
        <v>0</v>
      </c>
    </row>
    <row r="21" spans="2:19" x14ac:dyDescent="0.2">
      <c r="C21" s="21"/>
    </row>
    <row r="22" spans="2:19" x14ac:dyDescent="0.2">
      <c r="B22" s="68"/>
    </row>
    <row r="23" spans="2:19" x14ac:dyDescent="0.2">
      <c r="B23" s="70"/>
      <c r="C23" s="21"/>
    </row>
    <row r="24" spans="2:19" x14ac:dyDescent="0.2">
      <c r="C24" s="21"/>
      <c r="D24" s="21"/>
    </row>
    <row r="25" spans="2:19" x14ac:dyDescent="0.2">
      <c r="C25" s="4"/>
    </row>
    <row r="26" spans="2:19" x14ac:dyDescent="0.2">
      <c r="C26" s="23"/>
    </row>
    <row r="28" spans="2:19" x14ac:dyDescent="0.2">
      <c r="C28" s="67"/>
    </row>
    <row r="29" spans="2:19" x14ac:dyDescent="0.2">
      <c r="C29" s="69"/>
    </row>
    <row r="30" spans="2:19" x14ac:dyDescent="0.2">
      <c r="C30" s="69"/>
      <c r="S30" s="98"/>
    </row>
    <row r="31" spans="2:19" x14ac:dyDescent="0.2">
      <c r="C31" s="70"/>
    </row>
    <row r="32" spans="2:19" x14ac:dyDescent="0.2">
      <c r="C32" s="70"/>
    </row>
    <row r="33" spans="3:3" x14ac:dyDescent="0.2">
      <c r="C3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A8D8-F4AB-4DD4-8437-7407FCD0C45B}">
  <dimension ref="B2:S26"/>
  <sheetViews>
    <sheetView zoomScale="84" workbookViewId="0">
      <selection activeCell="H10" sqref="H10"/>
    </sheetView>
  </sheetViews>
  <sheetFormatPr baseColWidth="10" defaultColWidth="8.83203125" defaultRowHeight="16" x14ac:dyDescent="0.2"/>
  <cols>
    <col min="2" max="2" width="31.1640625" bestFit="1" customWidth="1"/>
    <col min="3" max="3" width="13.1640625" bestFit="1" customWidth="1"/>
    <col min="4" max="6" width="8.83203125" bestFit="1" customWidth="1"/>
    <col min="7" max="7" width="12" bestFit="1" customWidth="1"/>
    <col min="8" max="8" width="13.6640625" bestFit="1" customWidth="1"/>
    <col min="9" max="12" width="8.83203125" bestFit="1" customWidth="1"/>
    <col min="13" max="13" width="10.1640625" bestFit="1" customWidth="1"/>
    <col min="17" max="17" width="19.6640625" bestFit="1" customWidth="1"/>
    <col min="18" max="18" width="7.83203125" bestFit="1" customWidth="1"/>
    <col min="19" max="19" width="6.6640625" bestFit="1" customWidth="1"/>
  </cols>
  <sheetData>
    <row r="2" spans="2:18" x14ac:dyDescent="0.2">
      <c r="C2" s="130" t="s">
        <v>86</v>
      </c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2:18" x14ac:dyDescent="0.2">
      <c r="Q3" s="13" t="s">
        <v>66</v>
      </c>
    </row>
    <row r="4" spans="2:18" x14ac:dyDescent="0.2">
      <c r="Q4" s="131" t="s">
        <v>87</v>
      </c>
      <c r="R4" s="132"/>
    </row>
    <row r="5" spans="2:18" x14ac:dyDescent="0.2">
      <c r="B5" t="s">
        <v>88</v>
      </c>
      <c r="C5" t="str">
        <f>'Free Cash Flows'!D4</f>
        <v>FY23E</v>
      </c>
      <c r="D5" t="str">
        <f>'Free Cash Flows'!E4</f>
        <v>FY24E</v>
      </c>
      <c r="E5" t="str">
        <f>'Free Cash Flows'!F4</f>
        <v>FY25E</v>
      </c>
      <c r="F5" t="str">
        <f>'Free Cash Flows'!G4</f>
        <v>FY26E</v>
      </c>
      <c r="G5" t="str">
        <f>'Free Cash Flows'!H4</f>
        <v>FY27E</v>
      </c>
      <c r="H5" t="str">
        <f>'Free Cash Flows'!I4</f>
        <v>FY28E</v>
      </c>
      <c r="I5" t="str">
        <f>'Free Cash Flows'!J4</f>
        <v>FY29E</v>
      </c>
      <c r="J5" t="str">
        <f>'Free Cash Flows'!K4</f>
        <v>FY30E</v>
      </c>
      <c r="K5" t="str">
        <f>'Free Cash Flows'!L4</f>
        <v>FY31E</v>
      </c>
      <c r="L5" t="str">
        <f>'Free Cash Flows'!M4</f>
        <v>FY32E</v>
      </c>
      <c r="M5" t="str">
        <f>'Free Cash Flows'!N4</f>
        <v>Terminal Year</v>
      </c>
      <c r="Q5" s="24" t="s">
        <v>89</v>
      </c>
      <c r="R5" s="39">
        <v>103.6</v>
      </c>
    </row>
    <row r="6" spans="2:18" x14ac:dyDescent="0.2">
      <c r="B6" t="s">
        <v>90</v>
      </c>
      <c r="C6" s="115">
        <f>'Free Cash Flows'!D16</f>
        <v>3786.8067683066843</v>
      </c>
      <c r="D6" s="115">
        <f>'Free Cash Flows'!E16</f>
        <v>4174.2334032262015</v>
      </c>
      <c r="E6" s="115">
        <f>'Free Cash Flows'!F16</f>
        <v>4560.6418988588639</v>
      </c>
      <c r="F6" s="115">
        <f>'Free Cash Flows'!G16</f>
        <v>4961.8763317900139</v>
      </c>
      <c r="G6" s="115">
        <f>'Free Cash Flows'!H16</f>
        <v>5376.7677896611513</v>
      </c>
      <c r="H6" s="115">
        <f>'Free Cash Flows'!I16</f>
        <v>5804.0760786124647</v>
      </c>
      <c r="I6" s="115">
        <f>'Free Cash Flows'!J16</f>
        <v>6242.5067131718315</v>
      </c>
      <c r="J6" s="115">
        <f>'Free Cash Flows'!K16</f>
        <v>6690.7275326630261</v>
      </c>
      <c r="K6" s="115">
        <f>'Free Cash Flows'!L16</f>
        <v>7147.3846452136595</v>
      </c>
      <c r="L6" s="115">
        <f>'Free Cash Flows'!M16</f>
        <v>7611.1174523554746</v>
      </c>
      <c r="M6" s="115">
        <f>'Free Cash Flows'!N16</f>
        <v>219627.52861210934</v>
      </c>
      <c r="Q6" s="24" t="s">
        <v>91</v>
      </c>
      <c r="R6" s="40">
        <v>1608</v>
      </c>
    </row>
    <row r="7" spans="2:18" x14ac:dyDescent="0.2"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Q7" s="24" t="s">
        <v>92</v>
      </c>
      <c r="R7" s="26">
        <f>R5/R6</f>
        <v>6.4427860696517403E-2</v>
      </c>
    </row>
    <row r="8" spans="2:18" x14ac:dyDescent="0.2">
      <c r="B8" t="s">
        <v>93</v>
      </c>
      <c r="C8" s="116">
        <v>1</v>
      </c>
      <c r="D8" s="116">
        <v>2</v>
      </c>
      <c r="E8" s="116">
        <v>3</v>
      </c>
      <c r="F8" s="116">
        <v>4</v>
      </c>
      <c r="G8" s="116">
        <v>5</v>
      </c>
      <c r="H8" s="116">
        <v>6</v>
      </c>
      <c r="I8" s="116">
        <v>7</v>
      </c>
      <c r="J8" s="116">
        <v>8</v>
      </c>
      <c r="K8" s="116">
        <v>9</v>
      </c>
      <c r="L8" s="116">
        <v>10</v>
      </c>
      <c r="M8" s="116">
        <v>11</v>
      </c>
      <c r="Q8" s="27" t="s">
        <v>94</v>
      </c>
      <c r="R8" s="28">
        <v>0.25540000000000002</v>
      </c>
    </row>
    <row r="9" spans="2:18" x14ac:dyDescent="0.2">
      <c r="B9" t="s">
        <v>95</v>
      </c>
      <c r="C9" s="115">
        <f>C6/(1+$R$26)^C8</f>
        <v>3438.4492355621842</v>
      </c>
      <c r="D9" s="115">
        <f t="shared" ref="D9:M9" si="0">D6/(1+$R$26)^D8</f>
        <v>3441.5626001522728</v>
      </c>
      <c r="E9" s="115">
        <f t="shared" si="0"/>
        <v>3414.2426999289037</v>
      </c>
      <c r="F9" s="115">
        <f t="shared" si="0"/>
        <v>3372.9027911324292</v>
      </c>
      <c r="G9" s="115">
        <f t="shared" si="0"/>
        <v>3318.7049403207889</v>
      </c>
      <c r="H9" s="115">
        <f t="shared" si="0"/>
        <v>3252.8941376909602</v>
      </c>
      <c r="I9" s="115">
        <f t="shared" si="0"/>
        <v>3176.7667147231873</v>
      </c>
      <c r="J9" s="115">
        <f t="shared" si="0"/>
        <v>3091.6414566771978</v>
      </c>
      <c r="K9" s="115">
        <f t="shared" si="0"/>
        <v>2998.8338532999273</v>
      </c>
      <c r="L9" s="115">
        <f t="shared" si="0"/>
        <v>2899.6337509165837</v>
      </c>
      <c r="M9" s="115">
        <f t="shared" si="0"/>
        <v>75975.045555406061</v>
      </c>
    </row>
    <row r="10" spans="2:18" x14ac:dyDescent="0.2">
      <c r="Q10" s="71" t="s">
        <v>96</v>
      </c>
      <c r="R10" s="72">
        <f>'Free Cash Flows'!M6</f>
        <v>6.4425105899684157E-2</v>
      </c>
    </row>
    <row r="11" spans="2:18" x14ac:dyDescent="0.2">
      <c r="Q11" s="41"/>
      <c r="R11" s="41"/>
    </row>
    <row r="12" spans="2:18" x14ac:dyDescent="0.2">
      <c r="B12" s="13" t="s">
        <v>97</v>
      </c>
      <c r="Q12" s="131" t="s">
        <v>98</v>
      </c>
      <c r="R12" s="132"/>
    </row>
    <row r="13" spans="2:18" x14ac:dyDescent="0.2">
      <c r="B13" t="s">
        <v>99</v>
      </c>
      <c r="C13">
        <f>SUM(C9:L9)</f>
        <v>32405.632180404431</v>
      </c>
      <c r="Q13" s="24" t="s">
        <v>100</v>
      </c>
      <c r="R13" s="37">
        <v>7.3099999999999998E-2</v>
      </c>
    </row>
    <row r="14" spans="2:18" x14ac:dyDescent="0.2">
      <c r="B14" t="s">
        <v>101</v>
      </c>
      <c r="C14">
        <f>M9</f>
        <v>75975.045555406061</v>
      </c>
      <c r="Q14" s="24"/>
      <c r="R14" s="25"/>
    </row>
    <row r="15" spans="2:18" x14ac:dyDescent="0.2">
      <c r="B15" t="s">
        <v>102</v>
      </c>
      <c r="C15">
        <f>C13+C14</f>
        <v>108380.67773581049</v>
      </c>
      <c r="Q15" s="24" t="s">
        <v>103</v>
      </c>
      <c r="R15" s="25">
        <v>0.64</v>
      </c>
    </row>
    <row r="16" spans="2:18" x14ac:dyDescent="0.2">
      <c r="B16" t="s">
        <v>104</v>
      </c>
      <c r="C16" s="4">
        <f>'Historical Financials'!O43</f>
        <v>1107.77</v>
      </c>
      <c r="Q16" s="24" t="s">
        <v>105</v>
      </c>
      <c r="R16" s="25">
        <v>4.4999999999999998E-2</v>
      </c>
    </row>
    <row r="17" spans="2:19" x14ac:dyDescent="0.2">
      <c r="B17" t="s">
        <v>106</v>
      </c>
      <c r="C17" s="14">
        <f>DCF!R6</f>
        <v>1608</v>
      </c>
      <c r="Q17" s="27" t="s">
        <v>98</v>
      </c>
      <c r="R17" s="29">
        <f>(R13+R15*R16)</f>
        <v>0.10189999999999999</v>
      </c>
    </row>
    <row r="18" spans="2:19" x14ac:dyDescent="0.2">
      <c r="B18" t="s">
        <v>107</v>
      </c>
      <c r="C18">
        <f>'Historical Financials'!O13</f>
        <v>0</v>
      </c>
      <c r="G18" s="114" t="s">
        <v>108</v>
      </c>
      <c r="H18" s="114" t="s">
        <v>109</v>
      </c>
    </row>
    <row r="19" spans="2:19" x14ac:dyDescent="0.2">
      <c r="B19" t="s">
        <v>110</v>
      </c>
      <c r="C19" s="4">
        <f>C15+C16-C17</f>
        <v>107880.44773581049</v>
      </c>
    </row>
    <row r="20" spans="2:19" x14ac:dyDescent="0.2">
      <c r="B20" t="s">
        <v>111</v>
      </c>
      <c r="C20" s="14">
        <v>102</v>
      </c>
      <c r="Q20" s="131" t="s">
        <v>112</v>
      </c>
      <c r="R20" s="133"/>
      <c r="S20" s="132"/>
    </row>
    <row r="21" spans="2:19" x14ac:dyDescent="0.2">
      <c r="B21" t="s">
        <v>113</v>
      </c>
      <c r="C21">
        <f>C19/C20</f>
        <v>1057.651448390299</v>
      </c>
      <c r="Q21" s="30" t="s">
        <v>91</v>
      </c>
      <c r="R21" s="38">
        <v>1608</v>
      </c>
      <c r="S21" s="31">
        <f>R21/R23</f>
        <v>1.568107349040412E-2</v>
      </c>
    </row>
    <row r="22" spans="2:19" x14ac:dyDescent="0.2">
      <c r="Q22" s="30" t="s">
        <v>114</v>
      </c>
      <c r="R22" s="14">
        <v>100936</v>
      </c>
      <c r="S22" s="31">
        <f>R22/R23</f>
        <v>0.98431892650959585</v>
      </c>
    </row>
    <row r="23" spans="2:19" x14ac:dyDescent="0.2">
      <c r="Q23" s="32" t="s">
        <v>115</v>
      </c>
      <c r="R23" s="33">
        <f>R21+R22</f>
        <v>102544</v>
      </c>
      <c r="S23" s="34"/>
    </row>
    <row r="24" spans="2:19" x14ac:dyDescent="0.2">
      <c r="B24" t="s">
        <v>116</v>
      </c>
      <c r="C24">
        <v>987.15</v>
      </c>
    </row>
    <row r="26" spans="2:19" x14ac:dyDescent="0.2">
      <c r="Q26" s="35" t="s">
        <v>117</v>
      </c>
      <c r="R26" s="36">
        <f>(R7*S21)+(R17*S22)</f>
        <v>0.10131239662973943</v>
      </c>
    </row>
  </sheetData>
  <mergeCells count="4">
    <mergeCell ref="C2:M2"/>
    <mergeCell ref="Q4:R4"/>
    <mergeCell ref="Q12:R12"/>
    <mergeCell ref="Q20:S2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6F30-F1C2-0A48-84C5-DAF78AE4BA59}">
  <sheetPr codeName="Sheet7"/>
  <dimension ref="B3:AO62"/>
  <sheetViews>
    <sheetView zoomScale="63" workbookViewId="0">
      <selection activeCell="M118" sqref="M118"/>
    </sheetView>
  </sheetViews>
  <sheetFormatPr baseColWidth="10" defaultColWidth="11.1640625" defaultRowHeight="16" x14ac:dyDescent="0.2"/>
  <cols>
    <col min="2" max="2" width="60.1640625" bestFit="1" customWidth="1"/>
    <col min="3" max="3" width="13.1640625" customWidth="1"/>
    <col min="14" max="14" width="38.33203125" customWidth="1"/>
    <col min="15" max="15" width="10.33203125" customWidth="1"/>
    <col min="16" max="20" width="11.6640625" bestFit="1" customWidth="1"/>
    <col min="21" max="24" width="11.1640625" bestFit="1" customWidth="1"/>
    <col min="26" max="26" width="56.1640625" customWidth="1"/>
  </cols>
  <sheetData>
    <row r="3" spans="2:41" ht="39.5" customHeight="1" x14ac:dyDescent="0.2">
      <c r="B3" s="66" t="s">
        <v>118</v>
      </c>
      <c r="C3" s="134" t="s">
        <v>119</v>
      </c>
      <c r="D3" s="134"/>
      <c r="E3" s="134"/>
      <c r="F3" s="134"/>
      <c r="G3" s="134"/>
      <c r="H3" s="134"/>
      <c r="I3" s="134"/>
      <c r="J3" s="134"/>
      <c r="K3" s="134"/>
      <c r="N3" s="53" t="s">
        <v>120</v>
      </c>
      <c r="O3" s="137" t="s">
        <v>119</v>
      </c>
      <c r="P3" s="138"/>
      <c r="Q3" s="138"/>
      <c r="R3" s="138"/>
      <c r="S3" s="138"/>
      <c r="T3" s="138"/>
      <c r="U3" s="138"/>
      <c r="V3" s="138"/>
      <c r="W3" s="138"/>
      <c r="X3" s="138"/>
      <c r="Y3" s="3"/>
      <c r="Z3" s="53" t="s">
        <v>121</v>
      </c>
      <c r="AA3" s="137" t="s">
        <v>119</v>
      </c>
      <c r="AB3" s="138"/>
      <c r="AC3" s="138"/>
      <c r="AD3" s="138"/>
      <c r="AE3" s="138"/>
      <c r="AF3" s="138"/>
      <c r="AG3" s="138"/>
      <c r="AH3" s="138"/>
      <c r="AI3" s="138"/>
      <c r="AJ3" s="138"/>
    </row>
    <row r="4" spans="2:41" ht="17" x14ac:dyDescent="0.2">
      <c r="B4" s="1"/>
      <c r="C4" s="2">
        <v>44621</v>
      </c>
      <c r="D4" s="2">
        <v>44256</v>
      </c>
      <c r="E4" s="2">
        <v>43891</v>
      </c>
      <c r="F4" s="2">
        <v>43525</v>
      </c>
      <c r="G4" s="2">
        <v>43160</v>
      </c>
      <c r="H4" s="2">
        <v>42795</v>
      </c>
      <c r="I4" s="2">
        <v>42430</v>
      </c>
      <c r="J4" s="2">
        <v>42064</v>
      </c>
      <c r="K4" s="2">
        <v>41699</v>
      </c>
      <c r="L4" s="2">
        <v>41334</v>
      </c>
      <c r="N4" s="53"/>
      <c r="O4" s="54" t="s">
        <v>122</v>
      </c>
      <c r="P4" s="55">
        <v>44256</v>
      </c>
      <c r="Q4" s="55">
        <v>43891</v>
      </c>
      <c r="R4" s="55">
        <v>43525</v>
      </c>
      <c r="S4" s="55">
        <v>43160</v>
      </c>
      <c r="T4" s="54" t="s">
        <v>123</v>
      </c>
      <c r="U4" s="55">
        <v>42430</v>
      </c>
      <c r="V4" s="55">
        <v>42064</v>
      </c>
      <c r="W4" s="55">
        <v>41699</v>
      </c>
      <c r="X4" s="55">
        <v>41334</v>
      </c>
      <c r="Y4" s="3"/>
      <c r="Z4" s="53"/>
      <c r="AA4" s="54" t="s">
        <v>124</v>
      </c>
      <c r="AB4" s="54" t="s">
        <v>125</v>
      </c>
      <c r="AC4" s="54" t="s">
        <v>126</v>
      </c>
      <c r="AD4" s="54" t="s">
        <v>127</v>
      </c>
      <c r="AE4" s="54" t="s">
        <v>128</v>
      </c>
      <c r="AF4" s="54" t="s">
        <v>129</v>
      </c>
      <c r="AG4" s="54" t="s">
        <v>130</v>
      </c>
      <c r="AH4" s="54" t="s">
        <v>131</v>
      </c>
      <c r="AI4" s="54" t="s">
        <v>132</v>
      </c>
      <c r="AJ4" s="54" t="s">
        <v>133</v>
      </c>
    </row>
    <row r="5" spans="2:41" x14ac:dyDescent="0.2">
      <c r="B5" s="1"/>
      <c r="N5" s="3"/>
      <c r="O5" s="3"/>
      <c r="P5" s="3"/>
      <c r="Q5" s="3"/>
      <c r="R5" s="3"/>
      <c r="S5" s="3"/>
      <c r="T5" s="3"/>
      <c r="U5" s="53"/>
      <c r="V5" s="3"/>
      <c r="W5" s="3"/>
      <c r="X5" s="3"/>
      <c r="Y5" s="3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3"/>
      <c r="AL5" s="63"/>
      <c r="AM5" s="63"/>
      <c r="AN5" s="63"/>
      <c r="AO5" s="63"/>
    </row>
    <row r="6" spans="2:41" ht="17" x14ac:dyDescent="0.2">
      <c r="B6" s="1" t="s">
        <v>134</v>
      </c>
      <c r="C6" s="15"/>
      <c r="E6" s="12"/>
      <c r="N6" s="135" t="s">
        <v>135</v>
      </c>
      <c r="O6" s="136"/>
      <c r="P6" s="54"/>
      <c r="Q6" s="54"/>
      <c r="R6" s="54"/>
      <c r="S6" s="54"/>
      <c r="T6" s="3"/>
      <c r="U6" s="58"/>
      <c r="V6" s="59"/>
      <c r="W6" s="54"/>
      <c r="X6" s="54"/>
      <c r="Y6" s="54"/>
      <c r="Z6" s="56"/>
      <c r="AA6" s="57" t="s">
        <v>136</v>
      </c>
      <c r="AB6" s="57" t="s">
        <v>136</v>
      </c>
      <c r="AC6" s="57" t="s">
        <v>136</v>
      </c>
      <c r="AD6" s="57" t="s">
        <v>136</v>
      </c>
      <c r="AE6" s="57" t="s">
        <v>136</v>
      </c>
      <c r="AF6" s="57" t="s">
        <v>136</v>
      </c>
      <c r="AG6" s="57" t="s">
        <v>136</v>
      </c>
      <c r="AH6" s="57" t="s">
        <v>136</v>
      </c>
      <c r="AI6" s="57" t="s">
        <v>136</v>
      </c>
      <c r="AJ6" s="57" t="s">
        <v>136</v>
      </c>
    </row>
    <row r="7" spans="2:41" x14ac:dyDescent="0.2">
      <c r="B7" s="1" t="s">
        <v>1</v>
      </c>
      <c r="C7" s="5">
        <v>12174.22</v>
      </c>
      <c r="D7" s="5">
        <v>10936.01</v>
      </c>
      <c r="E7" s="5">
        <v>9826.51</v>
      </c>
      <c r="F7" s="5">
        <v>10221.07</v>
      </c>
      <c r="G7" s="5">
        <v>9861.74</v>
      </c>
      <c r="H7" s="5">
        <v>9583.7000000000007</v>
      </c>
      <c r="I7" s="5">
        <v>8742.4</v>
      </c>
      <c r="J7" s="5">
        <v>8515.34</v>
      </c>
      <c r="K7" s="5">
        <v>7803.1</v>
      </c>
      <c r="L7" s="5">
        <v>6598.9</v>
      </c>
      <c r="N7" s="135" t="s">
        <v>137</v>
      </c>
      <c r="O7" s="136"/>
      <c r="P7" s="54"/>
      <c r="Q7" s="54"/>
      <c r="R7" s="54"/>
      <c r="S7" s="54"/>
      <c r="T7" s="3"/>
      <c r="U7" s="58"/>
      <c r="V7" s="59"/>
      <c r="W7" s="54"/>
      <c r="X7" s="54"/>
      <c r="Y7" s="54"/>
      <c r="Z7" s="58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3"/>
      <c r="AL7" s="63"/>
      <c r="AM7" s="63"/>
      <c r="AN7" s="63"/>
      <c r="AO7" s="63"/>
    </row>
    <row r="8" spans="2:41" ht="17" x14ac:dyDescent="0.2">
      <c r="B8" s="3" t="s">
        <v>138</v>
      </c>
      <c r="C8" s="3">
        <v>0</v>
      </c>
      <c r="D8" s="3">
        <v>0</v>
      </c>
      <c r="E8" s="3">
        <v>0</v>
      </c>
      <c r="F8" s="3">
        <v>0</v>
      </c>
      <c r="G8" s="3">
        <v>93.72</v>
      </c>
      <c r="H8" s="3">
        <v>340.89</v>
      </c>
      <c r="I8" s="3">
        <v>329.18</v>
      </c>
      <c r="J8" s="3">
        <v>273.14</v>
      </c>
      <c r="K8" s="3">
        <v>220.53</v>
      </c>
      <c r="L8" s="3">
        <v>208.11</v>
      </c>
      <c r="N8" s="56" t="s">
        <v>139</v>
      </c>
      <c r="O8" s="57">
        <v>102.26</v>
      </c>
      <c r="P8" s="57">
        <v>102.25</v>
      </c>
      <c r="Q8" s="57">
        <v>102.23</v>
      </c>
      <c r="R8" s="57">
        <v>102.22</v>
      </c>
      <c r="S8" s="57">
        <v>68.13</v>
      </c>
      <c r="T8" s="57">
        <v>34.06</v>
      </c>
      <c r="U8" s="57">
        <v>34.049999999999997</v>
      </c>
      <c r="V8" s="57">
        <v>34.04</v>
      </c>
      <c r="W8" s="57">
        <v>34.04</v>
      </c>
      <c r="X8" s="57">
        <v>34.03</v>
      </c>
      <c r="Y8" s="3"/>
      <c r="Z8" s="53" t="s">
        <v>140</v>
      </c>
      <c r="AA8" s="54">
        <v>2155.2600000000002</v>
      </c>
      <c r="AB8" s="54">
        <v>2080.36</v>
      </c>
      <c r="AC8" s="54">
        <v>1760.4</v>
      </c>
      <c r="AD8" s="54">
        <v>1832.77</v>
      </c>
      <c r="AE8" s="54">
        <v>1859.32</v>
      </c>
      <c r="AF8" s="54">
        <v>1687.05</v>
      </c>
      <c r="AG8" s="54">
        <v>1500.18</v>
      </c>
      <c r="AH8" s="54">
        <v>1265.8900000000001</v>
      </c>
      <c r="AI8" s="54">
        <v>1023.8</v>
      </c>
      <c r="AJ8" s="54">
        <v>895.71</v>
      </c>
    </row>
    <row r="9" spans="2:41" ht="17" x14ac:dyDescent="0.2">
      <c r="B9" s="1" t="s">
        <v>141</v>
      </c>
      <c r="C9" s="5">
        <v>12174.22</v>
      </c>
      <c r="D9" s="5">
        <v>10936.01</v>
      </c>
      <c r="E9" s="5">
        <v>9826.51</v>
      </c>
      <c r="F9" s="5">
        <v>10221.07</v>
      </c>
      <c r="G9" s="5">
        <v>9768.02</v>
      </c>
      <c r="H9" s="5">
        <v>9242.81</v>
      </c>
      <c r="I9" s="5">
        <v>8413.2199999999993</v>
      </c>
      <c r="J9" s="5">
        <v>8242.2000000000007</v>
      </c>
      <c r="K9" s="5">
        <v>7582.57</v>
      </c>
      <c r="L9" s="5">
        <v>6390.79</v>
      </c>
      <c r="N9" s="53" t="s">
        <v>142</v>
      </c>
      <c r="O9" s="54">
        <v>102.26</v>
      </c>
      <c r="P9" s="54">
        <v>102.25</v>
      </c>
      <c r="Q9" s="54">
        <v>102.23</v>
      </c>
      <c r="R9" s="54">
        <v>102.22</v>
      </c>
      <c r="S9" s="54">
        <v>68.13</v>
      </c>
      <c r="T9" s="54">
        <v>34.06</v>
      </c>
      <c r="U9" s="54">
        <v>34.049999999999997</v>
      </c>
      <c r="V9" s="54">
        <v>34.04</v>
      </c>
      <c r="W9" s="54">
        <v>34.04</v>
      </c>
      <c r="X9" s="54">
        <v>34.03</v>
      </c>
      <c r="Y9" s="3"/>
      <c r="Z9" s="56" t="s">
        <v>143</v>
      </c>
      <c r="AA9" s="57">
        <v>1450.57</v>
      </c>
      <c r="AB9" s="57">
        <v>2029.63</v>
      </c>
      <c r="AC9" s="57">
        <v>1588.11</v>
      </c>
      <c r="AD9" s="57">
        <v>1728.85</v>
      </c>
      <c r="AE9" s="57">
        <v>1723.35</v>
      </c>
      <c r="AF9" s="57">
        <v>1860.22</v>
      </c>
      <c r="AG9" s="57">
        <v>847.37</v>
      </c>
      <c r="AH9" s="57">
        <v>1004.57</v>
      </c>
      <c r="AI9" s="57">
        <v>1128.6400000000001</v>
      </c>
      <c r="AJ9" s="57">
        <v>828.27</v>
      </c>
    </row>
    <row r="10" spans="2:41" ht="17" x14ac:dyDescent="0.2">
      <c r="B10" s="3" t="s">
        <v>144</v>
      </c>
      <c r="C10" s="3">
        <v>102.28</v>
      </c>
      <c r="D10" s="3">
        <v>92.61</v>
      </c>
      <c r="E10" s="3">
        <v>84.29</v>
      </c>
      <c r="F10" s="3">
        <v>93.27</v>
      </c>
      <c r="G10" s="3">
        <v>75.25</v>
      </c>
      <c r="H10" s="3">
        <v>25.1</v>
      </c>
      <c r="I10" s="3">
        <v>10.66</v>
      </c>
      <c r="J10" s="3">
        <v>34.159999999999997</v>
      </c>
      <c r="K10" s="3">
        <v>19.84</v>
      </c>
      <c r="L10" s="3">
        <v>16.649999999999999</v>
      </c>
      <c r="N10" s="56" t="s">
        <v>145</v>
      </c>
      <c r="O10" s="60">
        <v>11453.67</v>
      </c>
      <c r="P10" s="60">
        <v>9336.65</v>
      </c>
      <c r="Q10" s="60">
        <v>7796.13</v>
      </c>
      <c r="R10" s="60">
        <v>7164.7</v>
      </c>
      <c r="S10" s="60">
        <v>6190.18</v>
      </c>
      <c r="T10" s="60">
        <v>5267.89</v>
      </c>
      <c r="U10" s="60">
        <v>4232.91</v>
      </c>
      <c r="V10" s="60">
        <v>4276.6499999999996</v>
      </c>
      <c r="W10" s="60">
        <v>3741.36</v>
      </c>
      <c r="X10" s="60">
        <v>3279.01</v>
      </c>
      <c r="Y10" s="3"/>
      <c r="Z10" s="56" t="s">
        <v>146</v>
      </c>
      <c r="AA10" s="56">
        <v>-864.23</v>
      </c>
      <c r="AB10" s="56">
        <v>-315.5</v>
      </c>
      <c r="AC10" s="56">
        <v>-533.26</v>
      </c>
      <c r="AD10" s="56">
        <v>251.55</v>
      </c>
      <c r="AE10" s="56">
        <v>-339.83</v>
      </c>
      <c r="AF10" s="56">
        <v>-2169.7600000000002</v>
      </c>
      <c r="AG10" s="56">
        <v>-602.25</v>
      </c>
      <c r="AH10" s="56">
        <v>-1213.81</v>
      </c>
      <c r="AI10" s="56">
        <v>-494.78</v>
      </c>
      <c r="AJ10" s="56">
        <v>-815.65</v>
      </c>
    </row>
    <row r="11" spans="2:41" ht="17" x14ac:dyDescent="0.2">
      <c r="B11" s="1" t="s">
        <v>147</v>
      </c>
      <c r="C11" s="5">
        <v>12276.5</v>
      </c>
      <c r="D11" s="5">
        <v>11028.62</v>
      </c>
      <c r="E11" s="5">
        <v>9910.7999999999993</v>
      </c>
      <c r="F11" s="5">
        <v>10314.34</v>
      </c>
      <c r="G11" s="5">
        <v>9843.27</v>
      </c>
      <c r="H11" s="5">
        <v>9267.91</v>
      </c>
      <c r="I11" s="5">
        <v>8423.8799999999992</v>
      </c>
      <c r="J11" s="5">
        <v>8276.36</v>
      </c>
      <c r="K11" s="5">
        <v>7602.41</v>
      </c>
      <c r="L11" s="5">
        <v>6407.44</v>
      </c>
      <c r="N11" s="53" t="s">
        <v>148</v>
      </c>
      <c r="O11" s="61">
        <v>11453.67</v>
      </c>
      <c r="P11" s="61">
        <v>9336.65</v>
      </c>
      <c r="Q11" s="61">
        <v>7796.13</v>
      </c>
      <c r="R11" s="61">
        <v>7164.7</v>
      </c>
      <c r="S11" s="61">
        <v>6190.18</v>
      </c>
      <c r="T11" s="61">
        <v>5267.89</v>
      </c>
      <c r="U11" s="61">
        <v>4232.91</v>
      </c>
      <c r="V11" s="61">
        <v>4276.6499999999996</v>
      </c>
      <c r="W11" s="61">
        <v>3741.36</v>
      </c>
      <c r="X11" s="61">
        <v>3279.01</v>
      </c>
      <c r="Y11" s="3"/>
      <c r="Z11" s="56" t="s">
        <v>149</v>
      </c>
      <c r="AA11" s="56"/>
      <c r="AB11" s="56"/>
      <c r="AC11" s="56"/>
      <c r="AD11" s="56"/>
      <c r="AE11" s="56"/>
      <c r="AF11" s="56"/>
      <c r="AG11" s="56"/>
      <c r="AH11" s="56"/>
      <c r="AI11" s="56"/>
      <c r="AJ11" s="56"/>
    </row>
    <row r="12" spans="2:41" ht="17" x14ac:dyDescent="0.2">
      <c r="B12" s="3" t="s">
        <v>150</v>
      </c>
      <c r="C12" s="3">
        <v>89.71</v>
      </c>
      <c r="D12" s="3">
        <v>67.069999999999993</v>
      </c>
      <c r="E12" s="3">
        <v>112.3</v>
      </c>
      <c r="F12" s="3">
        <v>108.76</v>
      </c>
      <c r="G12" s="3">
        <v>107.55</v>
      </c>
      <c r="H12" s="3">
        <v>75.3</v>
      </c>
      <c r="I12" s="3">
        <v>83.9</v>
      </c>
      <c r="J12" s="3">
        <v>91.51</v>
      </c>
      <c r="K12" s="3">
        <v>62.71</v>
      </c>
      <c r="L12" s="3">
        <v>67.78</v>
      </c>
      <c r="N12" s="53" t="s">
        <v>151</v>
      </c>
      <c r="O12" s="61">
        <v>11555.93</v>
      </c>
      <c r="P12" s="61">
        <v>9438.9</v>
      </c>
      <c r="Q12" s="61">
        <v>7898.36</v>
      </c>
      <c r="R12" s="61">
        <v>7266.92</v>
      </c>
      <c r="S12" s="61">
        <v>6258.31</v>
      </c>
      <c r="T12" s="61">
        <v>5301.95</v>
      </c>
      <c r="U12" s="61">
        <v>4266.96</v>
      </c>
      <c r="V12" s="61">
        <v>4310.6899999999996</v>
      </c>
      <c r="W12" s="61">
        <v>3775.4</v>
      </c>
      <c r="X12" s="61">
        <v>3313.04</v>
      </c>
      <c r="Y12" s="3"/>
      <c r="Z12" s="56" t="s">
        <v>152</v>
      </c>
      <c r="AA12" s="57">
        <v>-379.52</v>
      </c>
      <c r="AB12" s="57">
        <v>-1816.22</v>
      </c>
      <c r="AC12" s="57">
        <v>-1295.33</v>
      </c>
      <c r="AD12" s="57">
        <v>-2038.73</v>
      </c>
      <c r="AE12" s="57">
        <v>-1384.01</v>
      </c>
      <c r="AF12" s="57">
        <v>664.65</v>
      </c>
      <c r="AG12" s="57">
        <v>-202.47</v>
      </c>
      <c r="AH12" s="57">
        <v>-12.04</v>
      </c>
      <c r="AI12" s="57">
        <v>-633.26</v>
      </c>
      <c r="AJ12" s="57">
        <v>281.68</v>
      </c>
    </row>
    <row r="13" spans="2:41" ht="17" x14ac:dyDescent="0.2">
      <c r="B13" s="1" t="s">
        <v>153</v>
      </c>
      <c r="C13" s="5">
        <v>12366.21</v>
      </c>
      <c r="D13" s="5">
        <v>11095.69</v>
      </c>
      <c r="E13" s="5">
        <v>10023.1</v>
      </c>
      <c r="F13" s="5">
        <v>10423.1</v>
      </c>
      <c r="G13" s="5">
        <v>9950.82</v>
      </c>
      <c r="H13" s="5">
        <v>9343.2099999999991</v>
      </c>
      <c r="I13" s="5">
        <v>8507.7800000000007</v>
      </c>
      <c r="J13" s="5">
        <v>8367.8700000000008</v>
      </c>
      <c r="K13" s="5">
        <v>7665.12</v>
      </c>
      <c r="L13" s="5">
        <v>6475.22</v>
      </c>
      <c r="N13" s="56" t="s">
        <v>154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57">
        <v>0</v>
      </c>
      <c r="U13" s="57">
        <v>10.02</v>
      </c>
      <c r="V13" s="57">
        <v>162.04</v>
      </c>
      <c r="W13" s="57">
        <v>225.1</v>
      </c>
      <c r="X13" s="57">
        <v>209.51</v>
      </c>
      <c r="Y13" s="3"/>
      <c r="Z13" s="53" t="s">
        <v>155</v>
      </c>
      <c r="AA13" s="54">
        <v>226.79</v>
      </c>
      <c r="AB13" s="54">
        <v>-77.19</v>
      </c>
      <c r="AC13" s="54">
        <v>-255.5</v>
      </c>
      <c r="AD13" s="54">
        <v>-38.14</v>
      </c>
      <c r="AE13" s="54">
        <v>0.39</v>
      </c>
      <c r="AF13" s="54">
        <v>299.88</v>
      </c>
      <c r="AG13" s="54">
        <v>42.65</v>
      </c>
      <c r="AH13" s="54">
        <v>-221.24</v>
      </c>
      <c r="AI13" s="54">
        <v>1.1399999999999999</v>
      </c>
      <c r="AJ13" s="54">
        <v>294.3</v>
      </c>
    </row>
    <row r="14" spans="2:41" ht="17" x14ac:dyDescent="0.2">
      <c r="B14" s="1" t="s">
        <v>156</v>
      </c>
      <c r="C14" s="1"/>
      <c r="D14" s="1"/>
      <c r="E14" s="1"/>
      <c r="F14" s="1"/>
      <c r="H14" s="1"/>
      <c r="I14" s="1"/>
      <c r="J14" s="1"/>
      <c r="K14" s="1"/>
      <c r="N14" s="135" t="s">
        <v>157</v>
      </c>
      <c r="O14" s="136"/>
      <c r="P14" s="54"/>
      <c r="Q14" s="54"/>
      <c r="R14" s="54"/>
      <c r="S14" s="54"/>
      <c r="T14" s="59"/>
      <c r="U14" s="54"/>
      <c r="V14" s="54"/>
      <c r="W14" s="54"/>
      <c r="X14" s="54"/>
      <c r="Y14" s="3"/>
      <c r="Z14" s="56" t="s">
        <v>158</v>
      </c>
      <c r="AA14" s="57">
        <v>524.13</v>
      </c>
      <c r="AB14" s="57">
        <v>600.96</v>
      </c>
      <c r="AC14" s="57">
        <v>856.46</v>
      </c>
      <c r="AD14" s="57">
        <v>894.6</v>
      </c>
      <c r="AE14" s="57">
        <v>894.21</v>
      </c>
      <c r="AF14" s="57">
        <v>594.33000000000004</v>
      </c>
      <c r="AG14" s="57">
        <v>535.59</v>
      </c>
      <c r="AH14" s="57">
        <v>625.21</v>
      </c>
      <c r="AI14" s="57">
        <v>624.46</v>
      </c>
      <c r="AJ14" s="57">
        <v>451.34</v>
      </c>
    </row>
    <row r="15" spans="2:41" ht="17" x14ac:dyDescent="0.2">
      <c r="B15" s="3" t="s">
        <v>159</v>
      </c>
      <c r="C15" s="6">
        <v>5782.98</v>
      </c>
      <c r="D15" s="6">
        <v>4606.76</v>
      </c>
      <c r="E15" s="6">
        <v>4121.75</v>
      </c>
      <c r="F15" s="6">
        <v>4062.43</v>
      </c>
      <c r="G15" s="6">
        <v>3646.23</v>
      </c>
      <c r="H15" s="6">
        <v>3801.91</v>
      </c>
      <c r="I15" s="6">
        <v>3457.78</v>
      </c>
      <c r="J15" s="6">
        <v>3370.75</v>
      </c>
      <c r="K15" s="6">
        <v>2967.62</v>
      </c>
      <c r="L15" s="6">
        <v>2655.98</v>
      </c>
      <c r="N15" s="56" t="s">
        <v>160</v>
      </c>
      <c r="O15" s="57">
        <v>380.85</v>
      </c>
      <c r="P15" s="57">
        <v>480.11</v>
      </c>
      <c r="Q15" s="60">
        <v>2145.04</v>
      </c>
      <c r="R15" s="60">
        <v>2604.7800000000002</v>
      </c>
      <c r="S15" s="60">
        <v>2380.3200000000002</v>
      </c>
      <c r="T15" s="60">
        <v>3108.25</v>
      </c>
      <c r="U15" s="60">
        <v>2449.0300000000002</v>
      </c>
      <c r="V15" s="60">
        <v>2023.03</v>
      </c>
      <c r="W15" s="60">
        <v>1590.25</v>
      </c>
      <c r="X15" s="60">
        <v>1866.15</v>
      </c>
      <c r="Y15" s="3"/>
      <c r="Z15" s="56" t="s">
        <v>161</v>
      </c>
      <c r="AA15" s="57">
        <v>750.92</v>
      </c>
      <c r="AB15" s="57">
        <v>523.77</v>
      </c>
      <c r="AC15" s="57">
        <v>600.96</v>
      </c>
      <c r="AD15" s="57">
        <v>856.46</v>
      </c>
      <c r="AE15" s="57">
        <v>894.6</v>
      </c>
      <c r="AF15" s="57">
        <v>894.21</v>
      </c>
      <c r="AG15" s="57">
        <v>578.24</v>
      </c>
      <c r="AH15" s="57">
        <v>403.97</v>
      </c>
      <c r="AI15" s="57">
        <v>625.6</v>
      </c>
      <c r="AJ15" s="57">
        <v>745.64</v>
      </c>
    </row>
    <row r="16" spans="2:41" ht="17" x14ac:dyDescent="0.2">
      <c r="B16" s="3" t="s">
        <v>162</v>
      </c>
      <c r="C16" s="3">
        <v>353.65</v>
      </c>
      <c r="D16" s="3">
        <v>365.01</v>
      </c>
      <c r="E16" s="3">
        <v>313.08</v>
      </c>
      <c r="F16" s="3">
        <v>337.36</v>
      </c>
      <c r="G16" s="3">
        <v>572.13</v>
      </c>
      <c r="H16" s="3">
        <v>463.94</v>
      </c>
      <c r="I16" s="3">
        <v>501.36</v>
      </c>
      <c r="J16" s="3">
        <v>435.73</v>
      </c>
      <c r="K16" s="3">
        <v>536.67999999999995</v>
      </c>
      <c r="L16" s="3">
        <v>451.03</v>
      </c>
      <c r="N16" s="56" t="s">
        <v>163</v>
      </c>
      <c r="O16" s="57">
        <v>51.94</v>
      </c>
      <c r="P16" s="57">
        <v>39.03</v>
      </c>
      <c r="Q16" s="57">
        <v>76.73</v>
      </c>
      <c r="R16" s="57">
        <v>76.53</v>
      </c>
      <c r="S16" s="57">
        <v>304.72000000000003</v>
      </c>
      <c r="T16" s="57">
        <v>286.11</v>
      </c>
      <c r="U16" s="57">
        <v>211.17</v>
      </c>
      <c r="V16" s="57">
        <v>3.13</v>
      </c>
      <c r="W16" s="57">
        <v>4.6500000000000004</v>
      </c>
      <c r="X16" s="57">
        <v>5.96</v>
      </c>
      <c r="Y16" s="3"/>
      <c r="Z16" s="64"/>
      <c r="AA16" s="65"/>
      <c r="AB16" s="65"/>
      <c r="AC16" s="65"/>
      <c r="AD16" s="65"/>
      <c r="AE16" s="65"/>
      <c r="AF16" s="65"/>
      <c r="AG16" s="65"/>
      <c r="AH16" s="65"/>
      <c r="AI16" s="65"/>
      <c r="AJ16" s="65"/>
    </row>
    <row r="17" spans="2:36" ht="17" x14ac:dyDescent="0.2">
      <c r="B17" s="3" t="s">
        <v>164</v>
      </c>
      <c r="C17" s="3">
        <v>-61.54</v>
      </c>
      <c r="D17" s="3">
        <v>-42.35</v>
      </c>
      <c r="E17" s="3">
        <v>-173.15</v>
      </c>
      <c r="F17" s="3">
        <v>154.54</v>
      </c>
      <c r="G17" s="3">
        <v>56</v>
      </c>
      <c r="H17" s="3">
        <v>-133.33000000000001</v>
      </c>
      <c r="I17" s="3">
        <v>-91.9</v>
      </c>
      <c r="J17" s="3">
        <v>35.04</v>
      </c>
      <c r="K17" s="3">
        <v>50.38</v>
      </c>
      <c r="L17" s="3">
        <v>-155.88999999999999</v>
      </c>
      <c r="N17" s="56" t="s">
        <v>165</v>
      </c>
      <c r="O17" s="57">
        <v>66.73</v>
      </c>
      <c r="P17" s="57">
        <v>74.37</v>
      </c>
      <c r="Q17" s="57">
        <v>173.34</v>
      </c>
      <c r="R17" s="57">
        <v>221.82</v>
      </c>
      <c r="S17" s="57">
        <v>756.32</v>
      </c>
      <c r="T17" s="57">
        <v>912.29</v>
      </c>
      <c r="U17" s="57">
        <v>67.239999999999995</v>
      </c>
      <c r="V17" s="57">
        <v>4.12</v>
      </c>
      <c r="W17" s="57">
        <v>5.62</v>
      </c>
      <c r="X17" s="57">
        <v>5.14</v>
      </c>
      <c r="Y17" s="3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</row>
    <row r="18" spans="2:36" ht="17" x14ac:dyDescent="0.2">
      <c r="B18" s="3" t="s">
        <v>166</v>
      </c>
      <c r="C18" s="6">
        <v>1104.1400000000001</v>
      </c>
      <c r="D18" s="6">
        <v>1123.3399999999999</v>
      </c>
      <c r="E18" s="6">
        <v>1018.82</v>
      </c>
      <c r="F18" s="6">
        <v>1068.4100000000001</v>
      </c>
      <c r="G18" s="6">
        <v>1057.4100000000001</v>
      </c>
      <c r="H18" s="3">
        <v>988.46</v>
      </c>
      <c r="I18" s="3">
        <v>944.13</v>
      </c>
      <c r="J18" s="3">
        <v>776.95</v>
      </c>
      <c r="K18" s="3">
        <v>748.87</v>
      </c>
      <c r="L18" s="3">
        <v>590.67999999999995</v>
      </c>
      <c r="N18" s="56" t="s">
        <v>167</v>
      </c>
      <c r="O18" s="57">
        <v>107</v>
      </c>
      <c r="P18" s="57">
        <v>114.72</v>
      </c>
      <c r="Q18" s="57">
        <v>116.98</v>
      </c>
      <c r="R18" s="57">
        <v>108.25</v>
      </c>
      <c r="S18" s="57">
        <v>98.24</v>
      </c>
      <c r="T18" s="57">
        <v>80.569999999999993</v>
      </c>
      <c r="U18" s="57">
        <v>34.71</v>
      </c>
      <c r="V18" s="57">
        <v>26.34</v>
      </c>
      <c r="W18" s="57">
        <v>23.78</v>
      </c>
      <c r="X18" s="57">
        <v>22.14</v>
      </c>
      <c r="Y18" s="3"/>
      <c r="Z18" s="3"/>
    </row>
    <row r="19" spans="2:36" ht="17" x14ac:dyDescent="0.2">
      <c r="B19" s="3" t="s">
        <v>168</v>
      </c>
      <c r="C19" s="3">
        <v>110.16</v>
      </c>
      <c r="D19" s="3">
        <v>126.63</v>
      </c>
      <c r="E19" s="3">
        <v>217.41</v>
      </c>
      <c r="F19" s="3">
        <v>224.25</v>
      </c>
      <c r="G19" s="3">
        <v>160.74</v>
      </c>
      <c r="H19" s="3">
        <v>145.22</v>
      </c>
      <c r="I19" s="3">
        <v>119.01</v>
      </c>
      <c r="J19" s="3">
        <v>100.15</v>
      </c>
      <c r="K19" s="3">
        <v>107.37</v>
      </c>
      <c r="L19" s="3">
        <v>77.45</v>
      </c>
      <c r="N19" s="53" t="s">
        <v>169</v>
      </c>
      <c r="O19" s="54">
        <v>606.52</v>
      </c>
      <c r="P19" s="54">
        <v>708.23</v>
      </c>
      <c r="Q19" s="61">
        <v>2512.09</v>
      </c>
      <c r="R19" s="61">
        <v>3011.38</v>
      </c>
      <c r="S19" s="61">
        <v>3539.6</v>
      </c>
      <c r="T19" s="61">
        <v>4387.22</v>
      </c>
      <c r="U19" s="61">
        <v>2762.15</v>
      </c>
      <c r="V19" s="61">
        <v>2056.62</v>
      </c>
      <c r="W19" s="61">
        <v>1624.3</v>
      </c>
      <c r="X19" s="61">
        <v>1899.39</v>
      </c>
      <c r="Y19" s="3"/>
      <c r="Z19" s="3"/>
    </row>
    <row r="20" spans="2:36" ht="15.5" customHeight="1" x14ac:dyDescent="0.2">
      <c r="B20" s="3" t="s">
        <v>170</v>
      </c>
      <c r="C20" s="3">
        <v>209.93</v>
      </c>
      <c r="D20" s="3">
        <v>203.85</v>
      </c>
      <c r="E20" s="3">
        <v>197.28</v>
      </c>
      <c r="F20" s="3">
        <v>169.98</v>
      </c>
      <c r="G20" s="3">
        <v>155.68</v>
      </c>
      <c r="H20" s="3">
        <v>141.57</v>
      </c>
      <c r="I20" s="3">
        <v>100.63</v>
      </c>
      <c r="J20" s="3">
        <v>90.78</v>
      </c>
      <c r="K20" s="3">
        <v>81.849999999999994</v>
      </c>
      <c r="L20" s="3">
        <v>77</v>
      </c>
      <c r="N20" s="58" t="s">
        <v>57</v>
      </c>
      <c r="O20" s="59"/>
      <c r="P20" s="54"/>
      <c r="Q20" s="54"/>
      <c r="R20" s="54"/>
      <c r="S20" s="54"/>
      <c r="T20" s="59"/>
      <c r="U20" s="54"/>
      <c r="V20" s="54"/>
      <c r="W20" s="54"/>
      <c r="X20" s="54"/>
      <c r="Y20" s="3"/>
      <c r="Z20" s="3"/>
    </row>
    <row r="21" spans="2:36" ht="17" x14ac:dyDescent="0.2">
      <c r="B21" s="3" t="s">
        <v>171</v>
      </c>
      <c r="C21" s="6">
        <v>2702.16</v>
      </c>
      <c r="D21" s="6">
        <v>2587.61</v>
      </c>
      <c r="E21" s="6">
        <v>2487.27</v>
      </c>
      <c r="F21" s="6">
        <v>2573.9899999999998</v>
      </c>
      <c r="G21" s="6">
        <v>2444.39</v>
      </c>
      <c r="H21" s="6">
        <v>2249.21</v>
      </c>
      <c r="I21" s="6">
        <v>1976.69</v>
      </c>
      <c r="J21" s="6">
        <v>2292.58</v>
      </c>
      <c r="K21" s="6">
        <v>2148.5500000000002</v>
      </c>
      <c r="L21" s="6">
        <v>1883.26</v>
      </c>
      <c r="N21" s="56" t="s">
        <v>58</v>
      </c>
      <c r="O21" s="60">
        <v>1226.81</v>
      </c>
      <c r="P21" s="57">
        <v>279.41000000000003</v>
      </c>
      <c r="Q21" s="57">
        <v>518.70000000000005</v>
      </c>
      <c r="R21" s="57">
        <v>270.94</v>
      </c>
      <c r="S21" s="57">
        <v>140.51</v>
      </c>
      <c r="T21" s="57">
        <v>232.55</v>
      </c>
      <c r="U21" s="57">
        <v>181.89</v>
      </c>
      <c r="V21" s="57">
        <v>146.66</v>
      </c>
      <c r="W21" s="57">
        <v>111.48</v>
      </c>
      <c r="X21" s="57">
        <v>82.44</v>
      </c>
      <c r="Y21" s="3"/>
      <c r="Z21" s="3"/>
    </row>
    <row r="22" spans="2:36" ht="17" x14ac:dyDescent="0.2">
      <c r="B22" s="1" t="s">
        <v>172</v>
      </c>
      <c r="C22" s="5">
        <v>10201.48</v>
      </c>
      <c r="D22" s="5">
        <v>8970.85</v>
      </c>
      <c r="E22" s="5">
        <v>8182.46</v>
      </c>
      <c r="F22" s="5">
        <v>8590.9599999999991</v>
      </c>
      <c r="G22" s="5">
        <v>8092.58</v>
      </c>
      <c r="H22" s="5">
        <v>7656.98</v>
      </c>
      <c r="I22" s="5">
        <v>7007.7</v>
      </c>
      <c r="J22" s="5">
        <v>7101.98</v>
      </c>
      <c r="K22" s="5">
        <v>6641.32</v>
      </c>
      <c r="L22" s="5">
        <v>5579.51</v>
      </c>
      <c r="N22" s="56" t="s">
        <v>59</v>
      </c>
      <c r="O22" s="60">
        <v>2163.06</v>
      </c>
      <c r="P22" s="60">
        <v>2159.64</v>
      </c>
      <c r="Q22" s="60">
        <v>2480.4899999999998</v>
      </c>
      <c r="R22" s="60">
        <v>2539.88</v>
      </c>
      <c r="S22" s="60">
        <v>2356.85</v>
      </c>
      <c r="T22" s="60">
        <v>1723.9</v>
      </c>
      <c r="U22" s="60">
        <v>1485.08</v>
      </c>
      <c r="V22" s="60">
        <v>1086.94</v>
      </c>
      <c r="W22" s="60">
        <v>1234.42</v>
      </c>
      <c r="X22" s="60">
        <v>1034.81</v>
      </c>
      <c r="Y22" s="3"/>
      <c r="Z22" s="3"/>
    </row>
    <row r="23" spans="2:36" ht="17" x14ac:dyDescent="0.2">
      <c r="B23" s="1" t="s">
        <v>173</v>
      </c>
      <c r="C23" s="5">
        <v>2164.73</v>
      </c>
      <c r="D23" s="5">
        <v>2124.84</v>
      </c>
      <c r="E23" s="5">
        <v>1840.64</v>
      </c>
      <c r="F23" s="5">
        <v>1832.14</v>
      </c>
      <c r="G23" s="5">
        <v>1858.24</v>
      </c>
      <c r="H23" s="5">
        <v>1686.23</v>
      </c>
      <c r="I23" s="5">
        <v>1500.08</v>
      </c>
      <c r="J23" s="5">
        <v>1265.8900000000001</v>
      </c>
      <c r="K23" s="5">
        <v>1023.8</v>
      </c>
      <c r="L23" s="1">
        <v>895.71</v>
      </c>
      <c r="N23" s="56" t="s">
        <v>60</v>
      </c>
      <c r="O23" s="57">
        <v>505.53</v>
      </c>
      <c r="P23" s="60">
        <v>1624.24</v>
      </c>
      <c r="Q23" s="60">
        <v>1491.41</v>
      </c>
      <c r="R23" s="60">
        <v>1030.1099999999999</v>
      </c>
      <c r="S23" s="60">
        <v>1619.62</v>
      </c>
      <c r="T23" s="60">
        <v>1332.77</v>
      </c>
      <c r="U23" s="57">
        <v>977.24</v>
      </c>
      <c r="V23" s="60">
        <v>1281.31</v>
      </c>
      <c r="W23" s="60">
        <v>1298.1500000000001</v>
      </c>
      <c r="X23" s="60">
        <v>1103.32</v>
      </c>
      <c r="Y23" s="3"/>
      <c r="Z23" s="3"/>
    </row>
    <row r="24" spans="2:36" ht="17" x14ac:dyDescent="0.2">
      <c r="B24" s="3" t="s">
        <v>174</v>
      </c>
      <c r="C24" s="3">
        <v>-9.75</v>
      </c>
      <c r="D24" s="3">
        <v>-44.47</v>
      </c>
      <c r="E24" s="3">
        <v>-81.05</v>
      </c>
      <c r="F24" s="3">
        <v>252.56</v>
      </c>
      <c r="G24" s="3">
        <v>179.56</v>
      </c>
      <c r="H24" s="3">
        <v>0.08</v>
      </c>
      <c r="I24" s="3">
        <v>-333.51</v>
      </c>
      <c r="J24" s="3">
        <v>-17.170000000000002</v>
      </c>
      <c r="K24" s="3">
        <v>5.87</v>
      </c>
      <c r="L24" s="3">
        <v>128.9</v>
      </c>
      <c r="N24" s="56" t="s">
        <v>61</v>
      </c>
      <c r="O24" s="57">
        <v>76.209999999999994</v>
      </c>
      <c r="P24" s="57">
        <v>72.400000000000006</v>
      </c>
      <c r="Q24" s="57">
        <v>55.96</v>
      </c>
      <c r="R24" s="57">
        <v>50.85</v>
      </c>
      <c r="S24" s="57">
        <v>47.82</v>
      </c>
      <c r="T24" s="57">
        <v>58.14</v>
      </c>
      <c r="U24" s="57">
        <v>70.39</v>
      </c>
      <c r="V24" s="57">
        <v>97.68</v>
      </c>
      <c r="W24" s="57">
        <v>55.89</v>
      </c>
      <c r="X24" s="57">
        <v>58.52</v>
      </c>
      <c r="Y24" s="3"/>
      <c r="Z24" s="3"/>
    </row>
    <row r="25" spans="2:36" ht="17" x14ac:dyDescent="0.2">
      <c r="B25" s="1" t="s">
        <v>175</v>
      </c>
      <c r="C25" s="5">
        <v>2154.98</v>
      </c>
      <c r="D25" s="5">
        <v>2080.37</v>
      </c>
      <c r="E25" s="5">
        <v>1759.59</v>
      </c>
      <c r="F25" s="5">
        <v>2084.6999999999998</v>
      </c>
      <c r="G25" s="5">
        <v>2037.8</v>
      </c>
      <c r="H25" s="5">
        <v>1686.31</v>
      </c>
      <c r="I25" s="5">
        <v>1166.57</v>
      </c>
      <c r="J25" s="5">
        <v>1248.72</v>
      </c>
      <c r="K25" s="5">
        <v>1029.67</v>
      </c>
      <c r="L25" s="5">
        <v>1024.6099999999999</v>
      </c>
      <c r="N25" s="53" t="s">
        <v>62</v>
      </c>
      <c r="O25" s="61">
        <v>3971.61</v>
      </c>
      <c r="P25" s="61">
        <v>4135.6899999999996</v>
      </c>
      <c r="Q25" s="61">
        <v>4546.5600000000004</v>
      </c>
      <c r="R25" s="61">
        <v>3891.78</v>
      </c>
      <c r="S25" s="61">
        <v>4164.8</v>
      </c>
      <c r="T25" s="61">
        <v>3347.36</v>
      </c>
      <c r="U25" s="61">
        <v>2714.6</v>
      </c>
      <c r="V25" s="61">
        <v>2612.59</v>
      </c>
      <c r="W25" s="61">
        <v>2699.94</v>
      </c>
      <c r="X25" s="61">
        <v>2279.09</v>
      </c>
      <c r="Y25" s="3"/>
      <c r="Z25" s="3"/>
    </row>
    <row r="26" spans="2:36" ht="17" x14ac:dyDescent="0.2">
      <c r="B26" s="1" t="s">
        <v>176</v>
      </c>
      <c r="C26" s="1"/>
      <c r="D26" s="1"/>
      <c r="E26" s="1"/>
      <c r="F26" s="1"/>
      <c r="H26" s="1"/>
      <c r="I26" s="1"/>
      <c r="J26" s="1"/>
      <c r="K26" s="1"/>
      <c r="N26" s="53" t="s">
        <v>177</v>
      </c>
      <c r="O26" s="61">
        <v>16134.06</v>
      </c>
      <c r="P26" s="61">
        <v>14282.82</v>
      </c>
      <c r="Q26" s="61">
        <v>14957.01</v>
      </c>
      <c r="R26" s="61">
        <v>14170.08</v>
      </c>
      <c r="S26" s="61">
        <v>13962.71</v>
      </c>
      <c r="T26" s="61">
        <v>13036.53</v>
      </c>
      <c r="U26" s="61">
        <v>9753.73</v>
      </c>
      <c r="V26" s="61">
        <v>9141.94</v>
      </c>
      <c r="W26" s="61">
        <v>8324.74</v>
      </c>
      <c r="X26" s="61">
        <v>7701.03</v>
      </c>
      <c r="Y26" s="3"/>
      <c r="Z26" s="3"/>
    </row>
    <row r="27" spans="2:36" ht="17" x14ac:dyDescent="0.2">
      <c r="B27" s="3" t="s">
        <v>178</v>
      </c>
      <c r="C27" s="3">
        <v>397.31</v>
      </c>
      <c r="D27" s="3">
        <v>408.14</v>
      </c>
      <c r="E27" s="3">
        <v>378.66</v>
      </c>
      <c r="F27" s="3">
        <v>417.9</v>
      </c>
      <c r="G27" s="3">
        <v>392.5</v>
      </c>
      <c r="H27" s="3">
        <v>369.17</v>
      </c>
      <c r="I27" s="3">
        <v>327.12</v>
      </c>
      <c r="J27" s="3">
        <v>286.08999999999997</v>
      </c>
      <c r="K27" s="3">
        <v>216.71</v>
      </c>
      <c r="L27" s="3">
        <v>191.88</v>
      </c>
      <c r="N27" s="58" t="s">
        <v>179</v>
      </c>
      <c r="O27" s="59"/>
      <c r="P27" s="54"/>
      <c r="Q27" s="54"/>
      <c r="R27" s="54"/>
      <c r="S27" s="54"/>
      <c r="T27" s="59"/>
      <c r="U27" s="54"/>
      <c r="V27" s="54"/>
      <c r="W27" s="54"/>
      <c r="X27" s="54"/>
      <c r="Y27" s="3"/>
      <c r="Z27" s="3"/>
    </row>
    <row r="28" spans="2:36" ht="15.5" customHeight="1" x14ac:dyDescent="0.2">
      <c r="B28" s="3" t="s">
        <v>180</v>
      </c>
      <c r="C28" s="3">
        <v>-25.44</v>
      </c>
      <c r="D28" s="3">
        <v>-48.6</v>
      </c>
      <c r="E28" s="3">
        <v>-114.84</v>
      </c>
      <c r="F28" s="3">
        <v>-674.1</v>
      </c>
      <c r="G28" s="3">
        <v>12.2</v>
      </c>
      <c r="H28" s="3">
        <v>9.99</v>
      </c>
      <c r="I28" s="3">
        <v>8.93</v>
      </c>
      <c r="J28" s="3">
        <v>-13.8</v>
      </c>
      <c r="K28" s="3">
        <v>-6.34</v>
      </c>
      <c r="L28" s="3">
        <v>-12.7</v>
      </c>
      <c r="N28" s="58" t="s">
        <v>181</v>
      </c>
      <c r="O28" s="59"/>
      <c r="P28" s="54"/>
      <c r="Q28" s="54"/>
      <c r="R28" s="54"/>
      <c r="S28" s="54"/>
      <c r="T28" s="59"/>
      <c r="U28" s="54"/>
      <c r="V28" s="54"/>
      <c r="W28" s="54"/>
      <c r="X28" s="54"/>
      <c r="Y28" s="3"/>
      <c r="Z28" s="3"/>
    </row>
    <row r="29" spans="2:36" ht="17" x14ac:dyDescent="0.2">
      <c r="B29" s="1" t="s">
        <v>182</v>
      </c>
      <c r="C29" s="1">
        <v>371.87</v>
      </c>
      <c r="D29" s="1">
        <v>359.54</v>
      </c>
      <c r="E29" s="1">
        <v>263.82</v>
      </c>
      <c r="F29" s="1">
        <v>-256.2</v>
      </c>
      <c r="G29" s="1">
        <v>404.7</v>
      </c>
      <c r="H29" s="1">
        <v>379.16</v>
      </c>
      <c r="I29" s="1">
        <v>336.05</v>
      </c>
      <c r="J29" s="1">
        <v>272.29000000000002</v>
      </c>
      <c r="K29" s="1">
        <v>210.37</v>
      </c>
      <c r="L29" s="1">
        <v>179.18</v>
      </c>
      <c r="N29" s="56" t="s">
        <v>183</v>
      </c>
      <c r="O29" s="60">
        <v>1373.36</v>
      </c>
      <c r="P29" s="60">
        <v>1301.3499999999999</v>
      </c>
      <c r="Q29" s="60">
        <v>1256.92</v>
      </c>
      <c r="R29" s="60">
        <v>1192.29</v>
      </c>
      <c r="S29" s="60">
        <v>1066.3599999999999</v>
      </c>
      <c r="T29" s="57">
        <v>942.58</v>
      </c>
      <c r="U29" s="57">
        <v>847.09</v>
      </c>
      <c r="V29" s="57">
        <v>558.11</v>
      </c>
      <c r="W29" s="57">
        <v>522.41999999999996</v>
      </c>
      <c r="X29" s="57">
        <v>502.13</v>
      </c>
      <c r="Y29" s="3"/>
      <c r="Z29" s="3"/>
    </row>
    <row r="30" spans="2:36" ht="17" x14ac:dyDescent="0.2">
      <c r="B30" s="1" t="s">
        <v>184</v>
      </c>
      <c r="C30" s="5">
        <v>1783.11</v>
      </c>
      <c r="D30" s="5">
        <v>1720.83</v>
      </c>
      <c r="E30" s="5">
        <v>1495.77</v>
      </c>
      <c r="F30" s="5">
        <v>2340.9</v>
      </c>
      <c r="G30" s="5">
        <v>1633.1</v>
      </c>
      <c r="H30" s="5">
        <v>1307.1500000000001</v>
      </c>
      <c r="I30" s="1">
        <v>830.52</v>
      </c>
      <c r="J30" s="1">
        <v>976.43</v>
      </c>
      <c r="K30" s="1">
        <v>819.3</v>
      </c>
      <c r="L30" s="1">
        <v>845.43</v>
      </c>
      <c r="N30" s="56" t="s">
        <v>185</v>
      </c>
      <c r="O30" s="60">
        <v>2469.15</v>
      </c>
      <c r="P30" s="60">
        <v>2473.5700000000002</v>
      </c>
      <c r="Q30" s="60">
        <v>2635.16</v>
      </c>
      <c r="R30" s="60">
        <v>2559.94</v>
      </c>
      <c r="S30" s="60">
        <v>2529.77</v>
      </c>
      <c r="T30" s="60">
        <v>2477.75</v>
      </c>
      <c r="U30" s="57">
        <v>941.96</v>
      </c>
      <c r="V30" s="57">
        <v>948.79</v>
      </c>
      <c r="W30" s="60">
        <v>1046.49</v>
      </c>
      <c r="X30" s="60">
        <v>1085.48</v>
      </c>
      <c r="Y30" s="3"/>
      <c r="Z30" s="3"/>
    </row>
    <row r="31" spans="2:36" ht="17" x14ac:dyDescent="0.2">
      <c r="B31" s="1" t="s">
        <v>186</v>
      </c>
      <c r="C31" s="5">
        <v>1783.11</v>
      </c>
      <c r="D31" s="5">
        <v>1720.83</v>
      </c>
      <c r="E31" s="5">
        <v>1495.77</v>
      </c>
      <c r="F31" s="5">
        <v>2340.9</v>
      </c>
      <c r="G31" s="5">
        <v>1633.1</v>
      </c>
      <c r="H31" s="5">
        <v>1307.1500000000001</v>
      </c>
      <c r="I31" s="1">
        <v>830.52</v>
      </c>
      <c r="J31" s="1">
        <v>976.43</v>
      </c>
      <c r="K31" s="1">
        <v>819.3</v>
      </c>
      <c r="L31" s="1">
        <v>845.43</v>
      </c>
      <c r="N31" s="56" t="s">
        <v>187</v>
      </c>
      <c r="O31" s="57">
        <v>114.75</v>
      </c>
      <c r="P31" s="57">
        <v>52.97</v>
      </c>
      <c r="Q31" s="57">
        <v>55.67</v>
      </c>
      <c r="R31" s="57">
        <v>50.9</v>
      </c>
      <c r="S31" s="57">
        <v>82.08</v>
      </c>
      <c r="T31" s="57">
        <v>95.11</v>
      </c>
      <c r="U31" s="57">
        <v>41.49</v>
      </c>
      <c r="V31" s="57">
        <v>224.61</v>
      </c>
      <c r="W31" s="57">
        <v>167.07</v>
      </c>
      <c r="X31" s="57">
        <v>140.85</v>
      </c>
      <c r="Y31" s="3"/>
      <c r="Z31" s="3"/>
    </row>
    <row r="32" spans="2:36" ht="17" x14ac:dyDescent="0.2">
      <c r="B32" s="1" t="s">
        <v>188</v>
      </c>
      <c r="C32" s="5">
        <v>1783.11</v>
      </c>
      <c r="D32" s="5">
        <v>1720.83</v>
      </c>
      <c r="E32" s="5">
        <v>1495.77</v>
      </c>
      <c r="F32" s="5">
        <v>2340.9</v>
      </c>
      <c r="G32" s="5">
        <v>1633.1</v>
      </c>
      <c r="H32" s="5">
        <v>1307.1500000000001</v>
      </c>
      <c r="I32" s="1">
        <v>830.52</v>
      </c>
      <c r="J32" s="1">
        <v>976.43</v>
      </c>
      <c r="K32" s="1">
        <v>819.3</v>
      </c>
      <c r="L32" s="1">
        <v>845.43</v>
      </c>
      <c r="N32" s="56" t="s">
        <v>189</v>
      </c>
      <c r="O32" s="57">
        <v>1.69</v>
      </c>
      <c r="P32" s="57">
        <v>4.46</v>
      </c>
      <c r="Q32" s="57">
        <v>1.37</v>
      </c>
      <c r="R32" s="57">
        <v>1.1599999999999999</v>
      </c>
      <c r="S32" s="57">
        <v>1.8</v>
      </c>
      <c r="T32" s="57">
        <v>2.3199999999999998</v>
      </c>
      <c r="U32" s="57">
        <v>2.17</v>
      </c>
      <c r="V32" s="57">
        <v>0</v>
      </c>
      <c r="W32" s="57">
        <v>0</v>
      </c>
      <c r="X32" s="57">
        <v>0</v>
      </c>
      <c r="Y32" s="3"/>
      <c r="Z32" s="3"/>
    </row>
    <row r="33" spans="2:26" ht="17" x14ac:dyDescent="0.2">
      <c r="B33" s="3" t="s">
        <v>190</v>
      </c>
      <c r="C33" s="3">
        <v>0.28000000000000003</v>
      </c>
      <c r="D33" s="3">
        <v>-0.01</v>
      </c>
      <c r="E33" s="3">
        <v>0.81</v>
      </c>
      <c r="F33" s="3">
        <v>0.63</v>
      </c>
      <c r="G33" s="3">
        <v>1.08</v>
      </c>
      <c r="H33" s="3">
        <v>-3.89</v>
      </c>
      <c r="I33" s="3">
        <v>-3.01</v>
      </c>
      <c r="J33" s="3">
        <v>-69.349999999999994</v>
      </c>
      <c r="K33" s="3">
        <v>-59.52</v>
      </c>
      <c r="L33" s="3">
        <v>-49.33</v>
      </c>
      <c r="N33" s="53" t="s">
        <v>191</v>
      </c>
      <c r="O33" s="61">
        <v>3958.95</v>
      </c>
      <c r="P33" s="61">
        <v>3832.35</v>
      </c>
      <c r="Q33" s="61">
        <v>3949.12</v>
      </c>
      <c r="R33" s="61">
        <v>3804.29</v>
      </c>
      <c r="S33" s="61">
        <v>3680.01</v>
      </c>
      <c r="T33" s="61">
        <v>3517.76</v>
      </c>
      <c r="U33" s="61">
        <v>1832.71</v>
      </c>
      <c r="V33" s="61">
        <v>1731.51</v>
      </c>
      <c r="W33" s="61">
        <v>1735.98</v>
      </c>
      <c r="X33" s="61">
        <v>1728.46</v>
      </c>
      <c r="Y33" s="3"/>
      <c r="Z33" s="3"/>
    </row>
    <row r="34" spans="2:26" ht="17" x14ac:dyDescent="0.2">
      <c r="B34" s="1" t="s">
        <v>192</v>
      </c>
      <c r="C34" s="5">
        <v>1783.39</v>
      </c>
      <c r="D34" s="5">
        <v>1720.82</v>
      </c>
      <c r="E34" s="5">
        <v>1496.58</v>
      </c>
      <c r="F34" s="5">
        <v>2341.5300000000002</v>
      </c>
      <c r="G34" s="5">
        <v>1634.18</v>
      </c>
      <c r="H34" s="5">
        <v>1304.08</v>
      </c>
      <c r="I34" s="1">
        <v>827.61</v>
      </c>
      <c r="J34" s="1">
        <v>907.12</v>
      </c>
      <c r="K34" s="1">
        <v>759.73</v>
      </c>
      <c r="L34" s="1">
        <v>796.1</v>
      </c>
      <c r="N34" s="56" t="s">
        <v>193</v>
      </c>
      <c r="O34" s="57">
        <v>171.12</v>
      </c>
      <c r="P34" s="57">
        <v>21.93</v>
      </c>
      <c r="Q34" s="57">
        <v>34.799999999999997</v>
      </c>
      <c r="R34" s="57">
        <v>34.67</v>
      </c>
      <c r="S34" s="57">
        <v>141.52000000000001</v>
      </c>
      <c r="T34" s="57">
        <v>251.75</v>
      </c>
      <c r="U34" s="57">
        <v>34.950000000000003</v>
      </c>
      <c r="V34" s="57">
        <v>34.31</v>
      </c>
      <c r="W34" s="57">
        <v>34.270000000000003</v>
      </c>
      <c r="X34" s="57">
        <v>0</v>
      </c>
      <c r="Y34" s="3"/>
      <c r="Z34" s="3"/>
    </row>
    <row r="35" spans="2:26" ht="17" x14ac:dyDescent="0.2">
      <c r="B35" s="1" t="s">
        <v>194</v>
      </c>
      <c r="C35" s="1"/>
      <c r="D35" s="1"/>
      <c r="E35" s="1"/>
      <c r="F35" s="1"/>
      <c r="H35" s="1"/>
      <c r="I35" s="1"/>
      <c r="J35" s="1"/>
      <c r="K35" s="1"/>
      <c r="N35" s="56" t="s">
        <v>195</v>
      </c>
      <c r="O35" s="57">
        <v>731.51</v>
      </c>
      <c r="P35" s="57">
        <v>676.79</v>
      </c>
      <c r="Q35" s="57">
        <v>646.79</v>
      </c>
      <c r="R35" s="57">
        <v>549.32000000000005</v>
      </c>
      <c r="S35" s="57">
        <v>100.04</v>
      </c>
      <c r="T35" s="57">
        <v>96.28</v>
      </c>
      <c r="U35" s="57">
        <v>74.989999999999995</v>
      </c>
      <c r="V35" s="57">
        <v>34.340000000000003</v>
      </c>
      <c r="W35" s="57">
        <v>24.97</v>
      </c>
      <c r="X35" s="57">
        <v>19.98</v>
      </c>
      <c r="Y35" s="3"/>
      <c r="Z35" s="3"/>
    </row>
    <row r="36" spans="2:26" ht="17" x14ac:dyDescent="0.2">
      <c r="B36" s="1" t="s">
        <v>196</v>
      </c>
      <c r="C36" s="1"/>
      <c r="D36" s="1"/>
      <c r="E36" s="1"/>
      <c r="F36" s="1"/>
      <c r="H36" s="1"/>
      <c r="I36" s="1"/>
      <c r="J36" s="1"/>
      <c r="K36" s="1"/>
      <c r="N36" s="56" t="s">
        <v>197</v>
      </c>
      <c r="O36" s="57">
        <v>0.03</v>
      </c>
      <c r="P36" s="57">
        <v>21.78</v>
      </c>
      <c r="Q36" s="57">
        <v>22.63</v>
      </c>
      <c r="R36" s="57">
        <v>18.77</v>
      </c>
      <c r="S36" s="57">
        <v>18.87</v>
      </c>
      <c r="T36" s="57">
        <v>19.28</v>
      </c>
      <c r="U36" s="57">
        <v>15.45</v>
      </c>
      <c r="V36" s="57">
        <v>208.11</v>
      </c>
      <c r="W36" s="57">
        <v>157.37</v>
      </c>
      <c r="X36" s="57">
        <v>194.75</v>
      </c>
      <c r="Y36" s="3"/>
      <c r="Z36" s="3"/>
    </row>
    <row r="37" spans="2:26" ht="17" x14ac:dyDescent="0.2">
      <c r="B37" s="3" t="s">
        <v>198</v>
      </c>
      <c r="C37" s="3">
        <v>17</v>
      </c>
      <c r="D37" s="3">
        <v>17</v>
      </c>
      <c r="E37" s="3">
        <v>15</v>
      </c>
      <c r="F37" s="3">
        <v>23</v>
      </c>
      <c r="G37" s="3">
        <v>24</v>
      </c>
      <c r="H37" s="3">
        <v>19</v>
      </c>
      <c r="I37" s="3">
        <v>24</v>
      </c>
      <c r="J37" s="3">
        <v>27</v>
      </c>
      <c r="K37" s="3">
        <v>22</v>
      </c>
      <c r="L37" s="3">
        <v>23</v>
      </c>
      <c r="N37" s="56" t="s">
        <v>199</v>
      </c>
      <c r="O37" s="57">
        <v>208.39</v>
      </c>
      <c r="P37" s="57">
        <v>127.71</v>
      </c>
      <c r="Q37" s="57">
        <v>156.01</v>
      </c>
      <c r="R37" s="57">
        <v>156.59</v>
      </c>
      <c r="S37" s="57">
        <v>135.72</v>
      </c>
      <c r="T37" s="57">
        <v>110.85</v>
      </c>
      <c r="U37" s="57">
        <v>160.47</v>
      </c>
      <c r="V37" s="57">
        <v>0.06</v>
      </c>
      <c r="W37" s="57">
        <v>1.44</v>
      </c>
      <c r="X37" s="57">
        <v>1.02</v>
      </c>
      <c r="Y37" s="3"/>
      <c r="Z37" s="3"/>
    </row>
    <row r="38" spans="2:26" ht="17" x14ac:dyDescent="0.2">
      <c r="B38" s="3" t="s">
        <v>200</v>
      </c>
      <c r="C38" s="3">
        <v>17</v>
      </c>
      <c r="D38" s="3">
        <v>17</v>
      </c>
      <c r="E38" s="3">
        <v>15</v>
      </c>
      <c r="F38" s="3">
        <v>23</v>
      </c>
      <c r="G38" s="3">
        <v>24</v>
      </c>
      <c r="H38" s="3">
        <v>19</v>
      </c>
      <c r="I38" s="3">
        <v>24</v>
      </c>
      <c r="J38" s="3">
        <v>27</v>
      </c>
      <c r="K38" s="3">
        <v>22</v>
      </c>
      <c r="L38" s="3">
        <v>23</v>
      </c>
      <c r="N38" s="53" t="s">
        <v>201</v>
      </c>
      <c r="O38" s="61">
        <v>10446.790000000001</v>
      </c>
      <c r="P38" s="61">
        <v>9810.41</v>
      </c>
      <c r="Q38" s="61">
        <v>10148.67</v>
      </c>
      <c r="R38" s="61">
        <v>9481.67</v>
      </c>
      <c r="S38" s="61">
        <v>8795.0300000000007</v>
      </c>
      <c r="T38" s="61">
        <v>8658.48</v>
      </c>
      <c r="U38" s="61">
        <v>6260.93</v>
      </c>
      <c r="V38" s="61">
        <v>6052.38</v>
      </c>
      <c r="W38" s="61">
        <v>5506.48</v>
      </c>
      <c r="X38" s="61">
        <v>4852.66</v>
      </c>
      <c r="Y38" s="3"/>
      <c r="Z38" s="3"/>
    </row>
    <row r="39" spans="2:26" ht="17" x14ac:dyDescent="0.2">
      <c r="B39" s="1" t="s">
        <v>202</v>
      </c>
      <c r="C39" s="1"/>
      <c r="D39" s="1"/>
      <c r="E39" s="1"/>
      <c r="F39" s="1"/>
      <c r="H39" s="1"/>
      <c r="I39" s="1"/>
      <c r="J39" s="1"/>
      <c r="K39" s="1"/>
      <c r="N39" s="58" t="s">
        <v>50</v>
      </c>
      <c r="O39" s="59"/>
      <c r="P39" s="54"/>
      <c r="Q39" s="54"/>
      <c r="R39" s="54"/>
      <c r="S39" s="54"/>
      <c r="T39" s="59"/>
      <c r="U39" s="54"/>
      <c r="V39" s="54"/>
      <c r="W39" s="54"/>
      <c r="X39" s="54"/>
      <c r="Y39" s="3"/>
      <c r="Z39" s="3"/>
    </row>
    <row r="40" spans="2:26" ht="17" x14ac:dyDescent="0.2">
      <c r="B40" s="3" t="s">
        <v>203</v>
      </c>
      <c r="C40" s="3">
        <v>0</v>
      </c>
      <c r="D40" s="3">
        <v>0</v>
      </c>
      <c r="E40" s="3">
        <v>817.82</v>
      </c>
      <c r="F40" s="6">
        <v>1226.52</v>
      </c>
      <c r="G40" s="3">
        <v>613.12</v>
      </c>
      <c r="H40" s="3">
        <v>195.78</v>
      </c>
      <c r="I40" s="3">
        <v>187.27</v>
      </c>
      <c r="J40" s="3">
        <v>187.24</v>
      </c>
      <c r="K40" s="3">
        <v>178.7</v>
      </c>
      <c r="L40" s="3">
        <v>170.16</v>
      </c>
      <c r="N40" s="56" t="s">
        <v>51</v>
      </c>
      <c r="O40" s="57">
        <v>844.31</v>
      </c>
      <c r="P40" s="57">
        <v>657.17</v>
      </c>
      <c r="Q40" s="57">
        <v>637.17999999999995</v>
      </c>
      <c r="R40" s="57">
        <v>481.31</v>
      </c>
      <c r="S40" s="57">
        <v>855.76</v>
      </c>
      <c r="T40" s="57">
        <v>681.79</v>
      </c>
      <c r="U40" s="57">
        <v>154.55000000000001</v>
      </c>
      <c r="V40" s="57">
        <v>151.38</v>
      </c>
      <c r="W40" s="57">
        <v>102</v>
      </c>
      <c r="X40" s="57">
        <v>0</v>
      </c>
      <c r="Y40" s="3"/>
      <c r="Z40" s="3"/>
    </row>
    <row r="41" spans="2:26" ht="17" x14ac:dyDescent="0.2">
      <c r="D41" s="9"/>
      <c r="N41" s="56" t="s">
        <v>52</v>
      </c>
      <c r="O41" s="60">
        <v>2129.85</v>
      </c>
      <c r="P41" s="60">
        <v>1716.25</v>
      </c>
      <c r="Q41" s="60">
        <v>1703.12</v>
      </c>
      <c r="R41" s="60">
        <v>1558.59</v>
      </c>
      <c r="S41" s="60">
        <v>1577.72</v>
      </c>
      <c r="T41" s="60">
        <v>1412.5</v>
      </c>
      <c r="U41" s="60">
        <v>1306.98</v>
      </c>
      <c r="V41" s="60">
        <v>1071.71</v>
      </c>
      <c r="W41" s="60">
        <v>1082.1300000000001</v>
      </c>
      <c r="X41" s="60">
        <v>1047.0899999999999</v>
      </c>
      <c r="Y41" s="3"/>
      <c r="Z41" s="3"/>
    </row>
    <row r="42" spans="2:26" ht="17" x14ac:dyDescent="0.2">
      <c r="H42" s="3"/>
      <c r="N42" s="56" t="s">
        <v>53</v>
      </c>
      <c r="O42" s="60">
        <v>1116.32</v>
      </c>
      <c r="P42" s="60">
        <v>1004.5</v>
      </c>
      <c r="Q42" s="60">
        <v>1157.25</v>
      </c>
      <c r="R42" s="60">
        <v>1292.9000000000001</v>
      </c>
      <c r="S42" s="60">
        <v>1245.5</v>
      </c>
      <c r="T42" s="60">
        <v>1028.74</v>
      </c>
      <c r="U42" s="60">
        <v>1118.01</v>
      </c>
      <c r="V42" s="57">
        <v>804.58</v>
      </c>
      <c r="W42" s="57">
        <v>711.28</v>
      </c>
      <c r="X42" s="57">
        <v>728.76</v>
      </c>
      <c r="Y42" s="3"/>
      <c r="Z42" s="3"/>
    </row>
    <row r="43" spans="2:26" ht="17" x14ac:dyDescent="0.2">
      <c r="B43" s="13"/>
      <c r="N43" s="56" t="s">
        <v>54</v>
      </c>
      <c r="O43" s="60">
        <v>1107.77</v>
      </c>
      <c r="P43" s="57">
        <v>672.21</v>
      </c>
      <c r="Q43" s="57">
        <v>770.16</v>
      </c>
      <c r="R43" s="57">
        <v>894.72</v>
      </c>
      <c r="S43" s="57">
        <v>960.21</v>
      </c>
      <c r="T43" s="57">
        <v>912.66</v>
      </c>
      <c r="U43" s="57">
        <v>753.79</v>
      </c>
      <c r="V43" s="57">
        <v>894.22</v>
      </c>
      <c r="W43" s="57">
        <v>704.79</v>
      </c>
      <c r="X43" s="57">
        <v>868.78</v>
      </c>
      <c r="Y43" s="3"/>
      <c r="Z43" s="3"/>
    </row>
    <row r="44" spans="2:26" ht="17" x14ac:dyDescent="0.2">
      <c r="N44" s="56" t="s">
        <v>204</v>
      </c>
      <c r="O44" s="57">
        <v>0.05</v>
      </c>
      <c r="P44" s="57">
        <v>4.6399999999999997</v>
      </c>
      <c r="Q44" s="57">
        <v>3.27</v>
      </c>
      <c r="R44" s="57">
        <v>3.73</v>
      </c>
      <c r="S44" s="57">
        <v>2.89</v>
      </c>
      <c r="T44" s="57">
        <v>3.61</v>
      </c>
      <c r="U44" s="57">
        <v>4.57</v>
      </c>
      <c r="V44" s="57">
        <v>160.09</v>
      </c>
      <c r="W44" s="57">
        <v>216.98</v>
      </c>
      <c r="X44" s="57">
        <v>200.83</v>
      </c>
      <c r="Y44" s="3"/>
      <c r="Z44" s="3"/>
    </row>
    <row r="45" spans="2:26" ht="17" x14ac:dyDescent="0.2">
      <c r="N45" s="56" t="s">
        <v>55</v>
      </c>
      <c r="O45" s="57">
        <v>488.97</v>
      </c>
      <c r="P45" s="57">
        <v>417.64</v>
      </c>
      <c r="Q45" s="57">
        <v>537.36</v>
      </c>
      <c r="R45" s="57">
        <v>457.16</v>
      </c>
      <c r="S45" s="57">
        <v>525.6</v>
      </c>
      <c r="T45" s="57">
        <v>338.75</v>
      </c>
      <c r="U45" s="57">
        <v>154.9</v>
      </c>
      <c r="V45" s="57">
        <v>7.58</v>
      </c>
      <c r="W45" s="57">
        <v>1.08</v>
      </c>
      <c r="X45" s="57">
        <v>2.91</v>
      </c>
      <c r="Y45" s="3"/>
      <c r="Z45" s="3"/>
    </row>
    <row r="46" spans="2:26" ht="17" x14ac:dyDescent="0.2">
      <c r="N46" s="53" t="s">
        <v>56</v>
      </c>
      <c r="O46" s="61">
        <v>5687.27</v>
      </c>
      <c r="P46" s="61">
        <v>4472.41</v>
      </c>
      <c r="Q46" s="61">
        <v>4808.34</v>
      </c>
      <c r="R46" s="61">
        <v>4688.41</v>
      </c>
      <c r="S46" s="61">
        <v>5167.68</v>
      </c>
      <c r="T46" s="61">
        <v>4378.05</v>
      </c>
      <c r="U46" s="61">
        <v>3492.8</v>
      </c>
      <c r="V46" s="61">
        <v>3089.56</v>
      </c>
      <c r="W46" s="61">
        <v>2818.26</v>
      </c>
      <c r="X46" s="61">
        <v>2848.37</v>
      </c>
      <c r="Y46" s="3"/>
      <c r="Z46" s="3"/>
    </row>
    <row r="47" spans="2:26" ht="17" x14ac:dyDescent="0.2">
      <c r="N47" s="53" t="s">
        <v>205</v>
      </c>
      <c r="O47" s="61">
        <v>16134.06</v>
      </c>
      <c r="P47" s="61">
        <v>14282.82</v>
      </c>
      <c r="Q47" s="61">
        <v>14957.01</v>
      </c>
      <c r="R47" s="61">
        <v>14170.08</v>
      </c>
      <c r="S47" s="61">
        <v>13962.71</v>
      </c>
      <c r="T47" s="61">
        <v>13036.53</v>
      </c>
      <c r="U47" s="61">
        <v>9753.73</v>
      </c>
      <c r="V47" s="61">
        <v>9141.94</v>
      </c>
      <c r="W47" s="61">
        <v>8324.74</v>
      </c>
      <c r="X47" s="61">
        <v>7701.03</v>
      </c>
      <c r="Y47" s="3"/>
      <c r="Z47" s="3"/>
    </row>
    <row r="48" spans="2:26" ht="15.5" customHeight="1" x14ac:dyDescent="0.2">
      <c r="N48" s="58" t="s">
        <v>194</v>
      </c>
      <c r="O48" s="59"/>
      <c r="P48" s="54"/>
      <c r="Q48" s="54"/>
      <c r="R48" s="54"/>
      <c r="S48" s="54"/>
      <c r="T48" s="59"/>
      <c r="U48" s="54"/>
      <c r="V48" s="54"/>
      <c r="W48" s="54"/>
      <c r="X48" s="54"/>
      <c r="Y48" s="3"/>
      <c r="Z48" s="3"/>
    </row>
    <row r="49" spans="2:26" ht="14" customHeight="1" x14ac:dyDescent="0.2">
      <c r="N49" s="58" t="s">
        <v>206</v>
      </c>
      <c r="O49" s="59"/>
      <c r="P49" s="54"/>
      <c r="Q49" s="54"/>
      <c r="R49" s="54"/>
      <c r="S49" s="54"/>
      <c r="T49" s="59"/>
      <c r="U49" s="54"/>
      <c r="V49" s="54"/>
      <c r="W49" s="54"/>
      <c r="X49" s="54"/>
      <c r="Y49" s="3"/>
      <c r="Z49" s="3"/>
    </row>
    <row r="50" spans="2:26" ht="19.25" customHeight="1" x14ac:dyDescent="0.2">
      <c r="N50" s="56" t="s">
        <v>207</v>
      </c>
      <c r="O50" s="57">
        <v>950.96</v>
      </c>
      <c r="P50" s="60">
        <v>1106.01</v>
      </c>
      <c r="Q50" s="60">
        <v>1089.97</v>
      </c>
      <c r="R50" s="57">
        <v>911.53</v>
      </c>
      <c r="S50" s="57">
        <v>872.44</v>
      </c>
      <c r="T50" s="57">
        <v>650.34</v>
      </c>
      <c r="U50" s="57">
        <v>564.19000000000005</v>
      </c>
      <c r="V50" s="57">
        <v>335.6</v>
      </c>
      <c r="W50" s="57">
        <v>698.87</v>
      </c>
      <c r="X50" s="60">
        <v>2869.99</v>
      </c>
      <c r="Y50" s="3"/>
      <c r="Z50" s="3"/>
    </row>
    <row r="51" spans="2:26" ht="17" x14ac:dyDescent="0.2">
      <c r="N51" s="58" t="s">
        <v>208</v>
      </c>
      <c r="O51" s="59"/>
      <c r="P51" s="54"/>
      <c r="Q51" s="54"/>
      <c r="R51" s="54"/>
      <c r="S51" s="54"/>
      <c r="T51" s="54"/>
      <c r="U51" s="54"/>
      <c r="V51" s="54"/>
      <c r="W51" s="3"/>
      <c r="X51" s="3"/>
      <c r="Y51" s="3"/>
      <c r="Z51" s="3"/>
    </row>
    <row r="52" spans="2:26" ht="19.25" customHeight="1" x14ac:dyDescent="0.2">
      <c r="N52" s="56" t="s">
        <v>209</v>
      </c>
      <c r="O52" s="57">
        <v>68.13</v>
      </c>
      <c r="P52" s="57">
        <v>68.13</v>
      </c>
      <c r="Q52" s="57">
        <v>68.13</v>
      </c>
      <c r="R52" s="57">
        <v>68.13</v>
      </c>
      <c r="S52" s="57">
        <v>34.06</v>
      </c>
      <c r="T52" s="57">
        <v>0</v>
      </c>
      <c r="U52" s="57">
        <v>0</v>
      </c>
      <c r="V52" s="57">
        <v>0</v>
      </c>
      <c r="W52" s="57">
        <v>0</v>
      </c>
      <c r="X52" s="57">
        <v>0</v>
      </c>
      <c r="Y52" s="3"/>
      <c r="Z52" s="3"/>
    </row>
    <row r="53" spans="2:26" ht="15.5" customHeight="1" x14ac:dyDescent="0.2">
      <c r="N53" s="58" t="s">
        <v>210</v>
      </c>
      <c r="O53" s="59"/>
      <c r="P53" s="54"/>
      <c r="Q53" s="54"/>
      <c r="R53" s="54"/>
      <c r="S53" s="54"/>
      <c r="T53" s="59"/>
      <c r="U53" s="54"/>
      <c r="V53" s="54"/>
      <c r="W53" s="54"/>
      <c r="X53" s="54"/>
      <c r="Y53" s="3"/>
      <c r="Z53" s="3"/>
    </row>
    <row r="54" spans="2:26" ht="34" x14ac:dyDescent="0.2">
      <c r="N54" s="56" t="s">
        <v>211</v>
      </c>
      <c r="O54" s="57">
        <v>145.91999999999999</v>
      </c>
      <c r="P54" s="57">
        <v>2.5099999999999998</v>
      </c>
      <c r="Q54" s="57">
        <v>0</v>
      </c>
      <c r="R54" s="57">
        <v>0</v>
      </c>
      <c r="S54" s="57">
        <v>84.79</v>
      </c>
      <c r="T54" s="57">
        <v>153.88999999999999</v>
      </c>
      <c r="U54" s="57">
        <v>0.53</v>
      </c>
      <c r="V54" s="57">
        <v>0</v>
      </c>
      <c r="W54" s="57">
        <v>0</v>
      </c>
      <c r="X54" s="57">
        <v>0</v>
      </c>
      <c r="Y54" s="3"/>
      <c r="Z54" s="3"/>
    </row>
    <row r="55" spans="2:26" ht="34" x14ac:dyDescent="0.2">
      <c r="N55" s="56" t="s">
        <v>212</v>
      </c>
      <c r="O55" s="57">
        <v>25.2</v>
      </c>
      <c r="P55" s="57">
        <v>0</v>
      </c>
      <c r="Q55" s="57">
        <v>0</v>
      </c>
      <c r="R55" s="57">
        <v>0</v>
      </c>
      <c r="S55" s="57">
        <v>56.86</v>
      </c>
      <c r="T55" s="56">
        <v>98.09</v>
      </c>
      <c r="U55" s="57">
        <v>0</v>
      </c>
      <c r="V55" s="57">
        <v>34.31</v>
      </c>
      <c r="W55" s="57">
        <v>34.270000000000003</v>
      </c>
      <c r="X55" s="57">
        <v>0</v>
      </c>
      <c r="Y55" s="3"/>
      <c r="Z55" s="3"/>
    </row>
    <row r="56" spans="2:26" ht="17" x14ac:dyDescent="0.2">
      <c r="N56" s="58" t="s">
        <v>213</v>
      </c>
      <c r="O56" s="59"/>
      <c r="P56" s="54"/>
      <c r="Q56" s="54"/>
      <c r="R56" s="54"/>
      <c r="S56" s="54"/>
      <c r="T56" s="59"/>
      <c r="U56" s="54"/>
      <c r="V56" s="54"/>
      <c r="W56" s="54"/>
      <c r="X56" s="54"/>
      <c r="Y56" s="3"/>
      <c r="Z56" s="3"/>
    </row>
    <row r="57" spans="2:26" ht="34" x14ac:dyDescent="0.2">
      <c r="N57" s="56" t="s">
        <v>214</v>
      </c>
      <c r="O57" s="57">
        <v>127.19</v>
      </c>
      <c r="P57" s="57">
        <v>55.3</v>
      </c>
      <c r="Q57" s="57">
        <v>80.099999999999994</v>
      </c>
      <c r="R57" s="57">
        <v>329.94</v>
      </c>
      <c r="S57" s="57">
        <v>339.38</v>
      </c>
      <c r="T57" s="57">
        <v>52.89</v>
      </c>
      <c r="U57" s="57">
        <v>0</v>
      </c>
      <c r="V57" s="57">
        <v>0</v>
      </c>
      <c r="W57" s="57">
        <v>0</v>
      </c>
      <c r="X57" s="57">
        <v>0</v>
      </c>
      <c r="Y57" s="3"/>
      <c r="Z57" s="3"/>
    </row>
    <row r="58" spans="2:26" ht="34" x14ac:dyDescent="0.2">
      <c r="N58" s="56" t="s">
        <v>215</v>
      </c>
      <c r="O58" s="57">
        <v>717.12</v>
      </c>
      <c r="P58" s="57">
        <v>601.87</v>
      </c>
      <c r="Q58" s="57">
        <v>557.12</v>
      </c>
      <c r="R58" s="57">
        <v>152.04</v>
      </c>
      <c r="S58" s="57">
        <v>519.75</v>
      </c>
      <c r="T58" s="57">
        <v>629.01</v>
      </c>
      <c r="U58" s="57">
        <v>154.55000000000001</v>
      </c>
      <c r="V58" s="57">
        <v>151.38</v>
      </c>
      <c r="W58" s="57">
        <v>102</v>
      </c>
      <c r="X58" s="57">
        <v>121.18</v>
      </c>
      <c r="Y58" s="3"/>
      <c r="Z58" s="3"/>
    </row>
    <row r="59" spans="2:26" x14ac:dyDescent="0.2">
      <c r="B59" t="s">
        <v>216</v>
      </c>
      <c r="U59" s="141"/>
      <c r="V59" s="141"/>
      <c r="W59" s="141"/>
      <c r="X59" s="141"/>
      <c r="Y59" s="141"/>
      <c r="Z59" s="141"/>
    </row>
    <row r="60" spans="2:26" x14ac:dyDescent="0.2">
      <c r="U60" s="139"/>
      <c r="V60" s="139"/>
      <c r="W60" s="139"/>
      <c r="X60" s="139"/>
      <c r="Y60" s="139"/>
      <c r="Z60" s="139"/>
    </row>
    <row r="61" spans="2:26" x14ac:dyDescent="0.2">
      <c r="U61" s="140"/>
      <c r="V61" s="140"/>
      <c r="W61" s="140"/>
      <c r="X61" s="140"/>
      <c r="Y61" s="140"/>
      <c r="Z61" s="140"/>
    </row>
    <row r="62" spans="2:26" x14ac:dyDescent="0.2">
      <c r="U62" s="139"/>
      <c r="V62" s="139"/>
      <c r="W62" s="139"/>
      <c r="X62" s="139"/>
      <c r="Y62" s="139"/>
      <c r="Z62" s="139"/>
    </row>
  </sheetData>
  <mergeCells count="10">
    <mergeCell ref="U61:Z61"/>
    <mergeCell ref="U62:Z62"/>
    <mergeCell ref="O3:X3"/>
    <mergeCell ref="U59:Z59"/>
    <mergeCell ref="N14:O14"/>
    <mergeCell ref="C3:K3"/>
    <mergeCell ref="N6:O6"/>
    <mergeCell ref="N7:O7"/>
    <mergeCell ref="AA3:AJ3"/>
    <mergeCell ref="U60:Z6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A9E9-CAB1-F74F-A7FA-815B4F907311}">
  <sheetPr codeName="Sheet6"/>
  <dimension ref="B3:C8"/>
  <sheetViews>
    <sheetView tabSelected="1" workbookViewId="0">
      <selection activeCell="C9" sqref="C9"/>
    </sheetView>
  </sheetViews>
  <sheetFormatPr baseColWidth="10" defaultColWidth="11.1640625" defaultRowHeight="16" x14ac:dyDescent="0.2"/>
  <cols>
    <col min="3" max="3" width="13.1640625" customWidth="1"/>
  </cols>
  <sheetData>
    <row r="3" spans="2:3" x14ac:dyDescent="0.2">
      <c r="B3">
        <v>1</v>
      </c>
      <c r="C3" t="s">
        <v>217</v>
      </c>
    </row>
    <row r="4" spans="2:3" x14ac:dyDescent="0.2">
      <c r="B4">
        <v>2</v>
      </c>
      <c r="C4" s="42" t="s">
        <v>218</v>
      </c>
    </row>
    <row r="5" spans="2:3" x14ac:dyDescent="0.2">
      <c r="B5">
        <v>3</v>
      </c>
      <c r="C5" t="s">
        <v>219</v>
      </c>
    </row>
    <row r="6" spans="2:3" x14ac:dyDescent="0.2">
      <c r="B6">
        <v>4</v>
      </c>
      <c r="C6" t="s">
        <v>220</v>
      </c>
    </row>
    <row r="7" spans="2:3" x14ac:dyDescent="0.2">
      <c r="B7">
        <v>5</v>
      </c>
      <c r="C7" t="s">
        <v>221</v>
      </c>
    </row>
    <row r="8" spans="2:3" x14ac:dyDescent="0.2">
      <c r="B8">
        <v>6</v>
      </c>
      <c r="C8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Growth Rate Calculation</vt:lpstr>
      <vt:lpstr>Schedules</vt:lpstr>
      <vt:lpstr>Free Cash Flows</vt:lpstr>
      <vt:lpstr>DCF</vt:lpstr>
      <vt:lpstr>Historical Financials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2023-04-22T13:23:40Z</dcterms:created>
  <dcterms:modified xsi:type="dcterms:W3CDTF">2023-04-24T18:33:09Z</dcterms:modified>
  <cp:category/>
  <cp:contentStatus/>
</cp:coreProperties>
</file>